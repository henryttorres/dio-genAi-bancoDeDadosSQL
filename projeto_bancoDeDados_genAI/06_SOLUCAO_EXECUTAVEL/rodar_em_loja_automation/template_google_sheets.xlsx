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GRAFANA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'BASE_GRAFANA'!$A$1:$R$201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EA1D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data</t>
        </is>
      </c>
      <c r="B1" s="1" t="inlineStr">
        <is>
          <t>hora_coleta</t>
        </is>
      </c>
      <c r="C1" s="1" t="inlineStr">
        <is>
          <t>praca</t>
        </is>
      </c>
      <c r="D1" s="1" t="inlineStr">
        <is>
          <t>loja</t>
        </is>
      </c>
      <c r="E1" s="1" t="inlineStr">
        <is>
          <t>operacao</t>
        </is>
      </c>
      <c r="F1" s="1" t="inlineStr">
        <is>
          <t>data_hora_atualizacao</t>
        </is>
      </c>
      <c r="G1" s="1" t="inlineStr">
        <is>
          <t>status_turno</t>
        </is>
      </c>
      <c r="H1" s="1" t="inlineStr">
        <is>
          <t>inicio_turno</t>
        </is>
      </c>
      <c r="I1" s="1" t="inlineStr">
        <is>
          <t>fim_turno</t>
        </is>
      </c>
      <c r="J1" s="1" t="inlineStr">
        <is>
          <t>vagas_solicitadas</t>
        </is>
      </c>
      <c r="K1" s="1" t="inlineStr">
        <is>
          <t>vagas_reservadas</t>
        </is>
      </c>
      <c r="L1" s="1" t="inlineStr">
        <is>
          <t>vagas_livres_api</t>
        </is>
      </c>
      <c r="M1" s="1" t="inlineStr">
        <is>
          <t>vagas_livres_calculadas</t>
        </is>
      </c>
      <c r="N1" s="1" t="inlineStr">
        <is>
          <t>taxa_ocupacao</t>
        </is>
      </c>
      <c r="O1" s="1" t="inlineStr">
        <is>
          <t>minutos_restantes</t>
        </is>
      </c>
      <c r="P1" s="1" t="inlineStr">
        <is>
          <t>elegivel</t>
        </is>
      </c>
      <c r="Q1" s="1" t="inlineStr">
        <is>
          <t>canal_recomendado</t>
        </is>
      </c>
      <c r="R1" s="1" t="inlineStr">
        <is>
          <t>chave_unica</t>
        </is>
      </c>
    </row>
    <row r="2">
      <c r="A2" s="2" t="inlineStr">
        <is>
          <t>2026-09-03</t>
        </is>
      </c>
      <c r="B2" s="2" t="inlineStr">
        <is>
          <t>10:00</t>
        </is>
      </c>
      <c r="C2" s="2" t="inlineStr">
        <is>
          <t>Recife</t>
        </is>
      </c>
      <c r="D2" s="2" t="inlineStr">
        <is>
          <t>Loja Centro</t>
        </is>
      </c>
      <c r="E2" s="2" t="inlineStr">
        <is>
          <t>Food</t>
        </is>
      </c>
      <c r="F2" s="2" t="inlineStr">
        <is>
          <t>2026-09-03 10:00</t>
        </is>
      </c>
      <c r="G2" s="2" t="inlineStr">
        <is>
          <t>EM_ANDAMENTO</t>
        </is>
      </c>
      <c r="H2" s="2" t="inlineStr">
        <is>
          <t>10:00</t>
        </is>
      </c>
      <c r="I2" s="2" t="inlineStr">
        <is>
          <t>23:00</t>
        </is>
      </c>
      <c r="J2" s="2" t="n">
        <v>12</v>
      </c>
      <c r="K2" s="2" t="n">
        <v>9</v>
      </c>
      <c r="L2" s="2" t="n">
        <v>3</v>
      </c>
      <c r="M2" s="3">
        <f>IF(A2="","",MAX(0,J2-K2))</f>
        <v/>
      </c>
      <c r="N2" s="4">
        <f>IFERROR(K2/J2,0)</f>
        <v/>
      </c>
      <c r="O2" s="3">
        <f>IF(A2="","",ROUND(((A2+I2)-NOW())*1440,0))</f>
        <v/>
      </c>
      <c r="P2" s="3">
        <f>IF(A2="","",IF(AND(M2&gt;0,O2&gt;90),"SIM","NAO"))</f>
        <v/>
      </c>
      <c r="Q2" s="3">
        <f>IF(A2="","",IF(P2&lt;&gt;"SIM","Nao acionar",IF(SUMIFS(M:M,A:A,A2,C:C,C2,P:P,"SIM")&lt;=2,"Blip Desk","Blip Portal")))</f>
        <v/>
      </c>
      <c r="R2" s="3">
        <f>IF(A2="","",TEXT(A2,"yyyymmdd")&amp;"|"&amp;C2&amp;"|"&amp;D2&amp;"|"&amp;TEXT(H2,"hhmm")&amp;"|"&amp;TEXT(F2,"yyyymmddhhmmss"))</f>
        <v/>
      </c>
    </row>
    <row r="3">
      <c r="A3" s="2" t="inlineStr">
        <is>
          <t>2026-09-03</t>
        </is>
      </c>
      <c r="B3" s="2" t="inlineStr">
        <is>
          <t>10:00</t>
        </is>
      </c>
      <c r="C3" s="2" t="inlineStr">
        <is>
          <t>Campinas</t>
        </is>
      </c>
      <c r="D3" s="2" t="inlineStr">
        <is>
          <t>Loja Cambui</t>
        </is>
      </c>
      <c r="E3" s="2" t="inlineStr">
        <is>
          <t>Online</t>
        </is>
      </c>
      <c r="F3" s="2" t="inlineStr">
        <is>
          <t>2026-09-03 10:00</t>
        </is>
      </c>
      <c r="G3" s="2" t="inlineStr">
        <is>
          <t>EM_ANDAMENTO</t>
        </is>
      </c>
      <c r="H3" s="2" t="inlineStr">
        <is>
          <t>10:00</t>
        </is>
      </c>
      <c r="I3" s="2" t="inlineStr">
        <is>
          <t>23:00</t>
        </is>
      </c>
      <c r="J3" s="2" t="n">
        <v>10</v>
      </c>
      <c r="K3" s="2" t="n">
        <v>9</v>
      </c>
      <c r="L3" s="2" t="n">
        <v>1</v>
      </c>
      <c r="M3" s="3">
        <f>IF(A3="","",MAX(0,J3-K3))</f>
        <v/>
      </c>
      <c r="N3" s="4">
        <f>IFERROR(K3/J3,0)</f>
        <v/>
      </c>
      <c r="O3" s="3">
        <f>IF(A3="","",ROUND(((A3+I3)-NOW())*1440,0))</f>
        <v/>
      </c>
      <c r="P3" s="3">
        <f>IF(A3="","",IF(AND(M3&gt;0,O3&gt;90),"SIM","NAO"))</f>
        <v/>
      </c>
      <c r="Q3" s="3">
        <f>IF(A3="","",IF(P3&lt;&gt;"SIM","Nao acionar",IF(SUMIFS(M:M,A:A,A3,C:C,C3,P:P,"SIM")&lt;=2,"Blip Desk","Blip Portal")))</f>
        <v/>
      </c>
      <c r="R3" s="3">
        <f>IF(A3="","",TEXT(A3,"yyyymmdd")&amp;"|"&amp;C3&amp;"|"&amp;D3&amp;"|"&amp;TEXT(H3,"hhmm")&amp;"|"&amp;TEXT(F3,"yyyymmddhhmmss"))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>
        <f>IF(A4="","",MAX(0,J4-K4))</f>
        <v/>
      </c>
      <c r="N4" s="4">
        <f>IFERROR(K4/J4,0)</f>
        <v/>
      </c>
      <c r="O4" s="3">
        <f>IF(A4="","",ROUND(((A4+I4)-NOW())*1440,0))</f>
        <v/>
      </c>
      <c r="P4" s="3">
        <f>IF(A4="","",IF(AND(M4&gt;0,O4&gt;90),"SIM","NAO"))</f>
        <v/>
      </c>
      <c r="Q4" s="3">
        <f>IF(A4="","",IF(P4&lt;&gt;"SIM","Nao acionar",IF(SUMIFS(M:M,A:A,A4,C:C,C4,P:P,"SIM")&lt;=2,"Blip Desk","Blip Portal")))</f>
        <v/>
      </c>
      <c r="R4" s="3">
        <f>IF(A4="","",TEXT(A4,"yyyymmdd")&amp;"|"&amp;C4&amp;"|"&amp;D4&amp;"|"&amp;TEXT(H4,"hhmm")&amp;"|"&amp;TEXT(F4,"yyyymmddhhmmss"))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>
        <f>IF(A5="","",MAX(0,J5-K5))</f>
        <v/>
      </c>
      <c r="N5" s="4">
        <f>IFERROR(K5/J5,0)</f>
        <v/>
      </c>
      <c r="O5" s="3">
        <f>IF(A5="","",ROUND(((A5+I5)-NOW())*1440,0))</f>
        <v/>
      </c>
      <c r="P5" s="3">
        <f>IF(A5="","",IF(AND(M5&gt;0,O5&gt;90),"SIM","NAO"))</f>
        <v/>
      </c>
      <c r="Q5" s="3">
        <f>IF(A5="","",IF(P5&lt;&gt;"SIM","Nao acionar",IF(SUMIFS(M:M,A:A,A5,C:C,C5,P:P,"SIM")&lt;=2,"Blip Desk","Blip Portal")))</f>
        <v/>
      </c>
      <c r="R5" s="3">
        <f>IF(A5="","",TEXT(A5,"yyyymmdd")&amp;"|"&amp;C5&amp;"|"&amp;D5&amp;"|"&amp;TEXT(H5,"hhmm")&amp;"|"&amp;TEXT(F5,"yyyymmddhhmmss"))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>
        <f>IF(A6="","",MAX(0,J6-K6))</f>
        <v/>
      </c>
      <c r="N6" s="4">
        <f>IFERROR(K6/J6,0)</f>
        <v/>
      </c>
      <c r="O6" s="3">
        <f>IF(A6="","",ROUND(((A6+I6)-NOW())*1440,0))</f>
        <v/>
      </c>
      <c r="P6" s="3">
        <f>IF(A6="","",IF(AND(M6&gt;0,O6&gt;90),"SIM","NAO"))</f>
        <v/>
      </c>
      <c r="Q6" s="3">
        <f>IF(A6="","",IF(P6&lt;&gt;"SIM","Nao acionar",IF(SUMIFS(M:M,A:A,A6,C:C,C6,P:P,"SIM")&lt;=2,"Blip Desk","Blip Portal")))</f>
        <v/>
      </c>
      <c r="R6" s="3">
        <f>IF(A6="","",TEXT(A6,"yyyymmdd")&amp;"|"&amp;C6&amp;"|"&amp;D6&amp;"|"&amp;TEXT(H6,"hhmm")&amp;"|"&amp;TEXT(F6,"yyyymmddhhmmss"))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>
        <f>IF(A7="","",MAX(0,J7-K7))</f>
        <v/>
      </c>
      <c r="N7" s="4">
        <f>IFERROR(K7/J7,0)</f>
        <v/>
      </c>
      <c r="O7" s="3">
        <f>IF(A7="","",ROUND(((A7+I7)-NOW())*1440,0))</f>
        <v/>
      </c>
      <c r="P7" s="3">
        <f>IF(A7="","",IF(AND(M7&gt;0,O7&gt;90),"SIM","NAO"))</f>
        <v/>
      </c>
      <c r="Q7" s="3">
        <f>IF(A7="","",IF(P7&lt;&gt;"SIM","Nao acionar",IF(SUMIFS(M:M,A:A,A7,C:C,C7,P:P,"SIM")&lt;=2,"Blip Desk","Blip Portal")))</f>
        <v/>
      </c>
      <c r="R7" s="3">
        <f>IF(A7="","",TEXT(A7,"yyyymmdd")&amp;"|"&amp;C7&amp;"|"&amp;D7&amp;"|"&amp;TEXT(H7,"hhmm")&amp;"|"&amp;TEXT(F7,"yyyymmddhhmmss"))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>
        <f>IF(A8="","",MAX(0,J8-K8))</f>
        <v/>
      </c>
      <c r="N8" s="4">
        <f>IFERROR(K8/J8,0)</f>
        <v/>
      </c>
      <c r="O8" s="3">
        <f>IF(A8="","",ROUND(((A8+I8)-NOW())*1440,0))</f>
        <v/>
      </c>
      <c r="P8" s="3">
        <f>IF(A8="","",IF(AND(M8&gt;0,O8&gt;90),"SIM","NAO"))</f>
        <v/>
      </c>
      <c r="Q8" s="3">
        <f>IF(A8="","",IF(P8&lt;&gt;"SIM","Nao acionar",IF(SUMIFS(M:M,A:A,A8,C:C,C8,P:P,"SIM")&lt;=2,"Blip Desk","Blip Portal")))</f>
        <v/>
      </c>
      <c r="R8" s="3">
        <f>IF(A8="","",TEXT(A8,"yyyymmdd")&amp;"|"&amp;C8&amp;"|"&amp;D8&amp;"|"&amp;TEXT(H8,"hhmm")&amp;"|"&amp;TEXT(F8,"yyyymmddhhmmss"))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>
        <f>IF(A9="","",MAX(0,J9-K9))</f>
        <v/>
      </c>
      <c r="N9" s="4">
        <f>IFERROR(K9/J9,0)</f>
        <v/>
      </c>
      <c r="O9" s="3">
        <f>IF(A9="","",ROUND(((A9+I9)-NOW())*1440,0))</f>
        <v/>
      </c>
      <c r="P9" s="3">
        <f>IF(A9="","",IF(AND(M9&gt;0,O9&gt;90),"SIM","NAO"))</f>
        <v/>
      </c>
      <c r="Q9" s="3">
        <f>IF(A9="","",IF(P9&lt;&gt;"SIM","Nao acionar",IF(SUMIFS(M:M,A:A,A9,C:C,C9,P:P,"SIM")&lt;=2,"Blip Desk","Blip Portal")))</f>
        <v/>
      </c>
      <c r="R9" s="3">
        <f>IF(A9="","",TEXT(A9,"yyyymmdd")&amp;"|"&amp;C9&amp;"|"&amp;D9&amp;"|"&amp;TEXT(H9,"hhmm")&amp;"|"&amp;TEXT(F9,"yyyymmddhhmmss"))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>
        <f>IF(A10="","",MAX(0,J10-K10))</f>
        <v/>
      </c>
      <c r="N10" s="4">
        <f>IFERROR(K10/J10,0)</f>
        <v/>
      </c>
      <c r="O10" s="3">
        <f>IF(A10="","",ROUND(((A10+I10)-NOW())*1440,0))</f>
        <v/>
      </c>
      <c r="P10" s="3">
        <f>IF(A10="","",IF(AND(M10&gt;0,O10&gt;90),"SIM","NAO"))</f>
        <v/>
      </c>
      <c r="Q10" s="3">
        <f>IF(A10="","",IF(P10&lt;&gt;"SIM","Nao acionar",IF(SUMIFS(M:M,A:A,A10,C:C,C10,P:P,"SIM")&lt;=2,"Blip Desk","Blip Portal")))</f>
        <v/>
      </c>
      <c r="R10" s="3">
        <f>IF(A10="","",TEXT(A10,"yyyymmdd")&amp;"|"&amp;C10&amp;"|"&amp;D10&amp;"|"&amp;TEXT(H10,"hhmm")&amp;"|"&amp;TEXT(F10,"yyyymmddhhmmss"))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>
        <f>IF(A11="","",MAX(0,J11-K11))</f>
        <v/>
      </c>
      <c r="N11" s="4">
        <f>IFERROR(K11/J11,0)</f>
        <v/>
      </c>
      <c r="O11" s="3">
        <f>IF(A11="","",ROUND(((A11+I11)-NOW())*1440,0))</f>
        <v/>
      </c>
      <c r="P11" s="3">
        <f>IF(A11="","",IF(AND(M11&gt;0,O11&gt;90),"SIM","NAO"))</f>
        <v/>
      </c>
      <c r="Q11" s="3">
        <f>IF(A11="","",IF(P11&lt;&gt;"SIM","Nao acionar",IF(SUMIFS(M:M,A:A,A11,C:C,C11,P:P,"SIM")&lt;=2,"Blip Desk","Blip Portal")))</f>
        <v/>
      </c>
      <c r="R11" s="3">
        <f>IF(A11="","",TEXT(A11,"yyyymmdd")&amp;"|"&amp;C11&amp;"|"&amp;D11&amp;"|"&amp;TEXT(H11,"hhmm")&amp;"|"&amp;TEXT(F11,"yyyymmddhhmmss"))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>
        <f>IF(A12="","",MAX(0,J12-K12))</f>
        <v/>
      </c>
      <c r="N12" s="4">
        <f>IFERROR(K12/J12,0)</f>
        <v/>
      </c>
      <c r="O12" s="3">
        <f>IF(A12="","",ROUND(((A12+I12)-NOW())*1440,0))</f>
        <v/>
      </c>
      <c r="P12" s="3">
        <f>IF(A12="","",IF(AND(M12&gt;0,O12&gt;90),"SIM","NAO"))</f>
        <v/>
      </c>
      <c r="Q12" s="3">
        <f>IF(A12="","",IF(P12&lt;&gt;"SIM","Nao acionar",IF(SUMIFS(M:M,A:A,A12,C:C,C12,P:P,"SIM")&lt;=2,"Blip Desk","Blip Portal")))</f>
        <v/>
      </c>
      <c r="R12" s="3">
        <f>IF(A12="","",TEXT(A12,"yyyymmdd")&amp;"|"&amp;C12&amp;"|"&amp;D12&amp;"|"&amp;TEXT(H12,"hhmm")&amp;"|"&amp;TEXT(F12,"yyyymmddhhmmss"))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>
        <f>IF(A13="","",MAX(0,J13-K13))</f>
        <v/>
      </c>
      <c r="N13" s="4">
        <f>IFERROR(K13/J13,0)</f>
        <v/>
      </c>
      <c r="O13" s="3">
        <f>IF(A13="","",ROUND(((A13+I13)-NOW())*1440,0))</f>
        <v/>
      </c>
      <c r="P13" s="3">
        <f>IF(A13="","",IF(AND(M13&gt;0,O13&gt;90),"SIM","NAO"))</f>
        <v/>
      </c>
      <c r="Q13" s="3">
        <f>IF(A13="","",IF(P13&lt;&gt;"SIM","Nao acionar",IF(SUMIFS(M:M,A:A,A13,C:C,C13,P:P,"SIM")&lt;=2,"Blip Desk","Blip Portal")))</f>
        <v/>
      </c>
      <c r="R13" s="3">
        <f>IF(A13="","",TEXT(A13,"yyyymmdd")&amp;"|"&amp;C13&amp;"|"&amp;D13&amp;"|"&amp;TEXT(H13,"hhmm")&amp;"|"&amp;TEXT(F13,"yyyymmddhhmmss"))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>
        <f>IF(A14="","",MAX(0,J14-K14))</f>
        <v/>
      </c>
      <c r="N14" s="4">
        <f>IFERROR(K14/J14,0)</f>
        <v/>
      </c>
      <c r="O14" s="3">
        <f>IF(A14="","",ROUND(((A14+I14)-NOW())*1440,0))</f>
        <v/>
      </c>
      <c r="P14" s="3">
        <f>IF(A14="","",IF(AND(M14&gt;0,O14&gt;90),"SIM","NAO"))</f>
        <v/>
      </c>
      <c r="Q14" s="3">
        <f>IF(A14="","",IF(P14&lt;&gt;"SIM","Nao acionar",IF(SUMIFS(M:M,A:A,A14,C:C,C14,P:P,"SIM")&lt;=2,"Blip Desk","Blip Portal")))</f>
        <v/>
      </c>
      <c r="R14" s="3">
        <f>IF(A14="","",TEXT(A14,"yyyymmdd")&amp;"|"&amp;C14&amp;"|"&amp;D14&amp;"|"&amp;TEXT(H14,"hhmm")&amp;"|"&amp;TEXT(F14,"yyyymmddhhmmss"))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>
        <f>IF(A15="","",MAX(0,J15-K15))</f>
        <v/>
      </c>
      <c r="N15" s="4">
        <f>IFERROR(K15/J15,0)</f>
        <v/>
      </c>
      <c r="O15" s="3">
        <f>IF(A15="","",ROUND(((A15+I15)-NOW())*1440,0))</f>
        <v/>
      </c>
      <c r="P15" s="3">
        <f>IF(A15="","",IF(AND(M15&gt;0,O15&gt;90),"SIM","NAO"))</f>
        <v/>
      </c>
      <c r="Q15" s="3">
        <f>IF(A15="","",IF(P15&lt;&gt;"SIM","Nao acionar",IF(SUMIFS(M:M,A:A,A15,C:C,C15,P:P,"SIM")&lt;=2,"Blip Desk","Blip Portal")))</f>
        <v/>
      </c>
      <c r="R15" s="3">
        <f>IF(A15="","",TEXT(A15,"yyyymmdd")&amp;"|"&amp;C15&amp;"|"&amp;D15&amp;"|"&amp;TEXT(H15,"hhmm")&amp;"|"&amp;TEXT(F15,"yyyymmddhhmmss"))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>
        <f>IF(A16="","",MAX(0,J16-K16))</f>
        <v/>
      </c>
      <c r="N16" s="4">
        <f>IFERROR(K16/J16,0)</f>
        <v/>
      </c>
      <c r="O16" s="3">
        <f>IF(A16="","",ROUND(((A16+I16)-NOW())*1440,0))</f>
        <v/>
      </c>
      <c r="P16" s="3">
        <f>IF(A16="","",IF(AND(M16&gt;0,O16&gt;90),"SIM","NAO"))</f>
        <v/>
      </c>
      <c r="Q16" s="3">
        <f>IF(A16="","",IF(P16&lt;&gt;"SIM","Nao acionar",IF(SUMIFS(M:M,A:A,A16,C:C,C16,P:P,"SIM")&lt;=2,"Blip Desk","Blip Portal")))</f>
        <v/>
      </c>
      <c r="R16" s="3">
        <f>IF(A16="","",TEXT(A16,"yyyymmdd")&amp;"|"&amp;C16&amp;"|"&amp;D16&amp;"|"&amp;TEXT(H16,"hhmm")&amp;"|"&amp;TEXT(F16,"yyyymmddhhmmss"))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>
        <f>IF(A17="","",MAX(0,J17-K17))</f>
        <v/>
      </c>
      <c r="N17" s="4">
        <f>IFERROR(K17/J17,0)</f>
        <v/>
      </c>
      <c r="O17" s="3">
        <f>IF(A17="","",ROUND(((A17+I17)-NOW())*1440,0))</f>
        <v/>
      </c>
      <c r="P17" s="3">
        <f>IF(A17="","",IF(AND(M17&gt;0,O17&gt;90),"SIM","NAO"))</f>
        <v/>
      </c>
      <c r="Q17" s="3">
        <f>IF(A17="","",IF(P17&lt;&gt;"SIM","Nao acionar",IF(SUMIFS(M:M,A:A,A17,C:C,C17,P:P,"SIM")&lt;=2,"Blip Desk","Blip Portal")))</f>
        <v/>
      </c>
      <c r="R17" s="3">
        <f>IF(A17="","",TEXT(A17,"yyyymmdd")&amp;"|"&amp;C17&amp;"|"&amp;D17&amp;"|"&amp;TEXT(H17,"hhmm")&amp;"|"&amp;TEXT(F17,"yyyymmddhhmmss"))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>
        <f>IF(A18="","",MAX(0,J18-K18))</f>
        <v/>
      </c>
      <c r="N18" s="4">
        <f>IFERROR(K18/J18,0)</f>
        <v/>
      </c>
      <c r="O18" s="3">
        <f>IF(A18="","",ROUND(((A18+I18)-NOW())*1440,0))</f>
        <v/>
      </c>
      <c r="P18" s="3">
        <f>IF(A18="","",IF(AND(M18&gt;0,O18&gt;90),"SIM","NAO"))</f>
        <v/>
      </c>
      <c r="Q18" s="3">
        <f>IF(A18="","",IF(P18&lt;&gt;"SIM","Nao acionar",IF(SUMIFS(M:M,A:A,A18,C:C,C18,P:P,"SIM")&lt;=2,"Blip Desk","Blip Portal")))</f>
        <v/>
      </c>
      <c r="R18" s="3">
        <f>IF(A18="","",TEXT(A18,"yyyymmdd")&amp;"|"&amp;C18&amp;"|"&amp;D18&amp;"|"&amp;TEXT(H18,"hhmm")&amp;"|"&amp;TEXT(F18,"yyyymmddhhmmss"))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>
        <f>IF(A19="","",MAX(0,J19-K19))</f>
        <v/>
      </c>
      <c r="N19" s="4">
        <f>IFERROR(K19/J19,0)</f>
        <v/>
      </c>
      <c r="O19" s="3">
        <f>IF(A19="","",ROUND(((A19+I19)-NOW())*1440,0))</f>
        <v/>
      </c>
      <c r="P19" s="3">
        <f>IF(A19="","",IF(AND(M19&gt;0,O19&gt;90),"SIM","NAO"))</f>
        <v/>
      </c>
      <c r="Q19" s="3">
        <f>IF(A19="","",IF(P19&lt;&gt;"SIM","Nao acionar",IF(SUMIFS(M:M,A:A,A19,C:C,C19,P:P,"SIM")&lt;=2,"Blip Desk","Blip Portal")))</f>
        <v/>
      </c>
      <c r="R19" s="3">
        <f>IF(A19="","",TEXT(A19,"yyyymmdd")&amp;"|"&amp;C19&amp;"|"&amp;D19&amp;"|"&amp;TEXT(H19,"hhmm")&amp;"|"&amp;TEXT(F19,"yyyymmddhhmmss"))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>
        <f>IF(A20="","",MAX(0,J20-K20))</f>
        <v/>
      </c>
      <c r="N20" s="4">
        <f>IFERROR(K20/J20,0)</f>
        <v/>
      </c>
      <c r="O20" s="3">
        <f>IF(A20="","",ROUND(((A20+I20)-NOW())*1440,0))</f>
        <v/>
      </c>
      <c r="P20" s="3">
        <f>IF(A20="","",IF(AND(M20&gt;0,O20&gt;90),"SIM","NAO"))</f>
        <v/>
      </c>
      <c r="Q20" s="3">
        <f>IF(A20="","",IF(P20&lt;&gt;"SIM","Nao acionar",IF(SUMIFS(M:M,A:A,A20,C:C,C20,P:P,"SIM")&lt;=2,"Blip Desk","Blip Portal")))</f>
        <v/>
      </c>
      <c r="R20" s="3">
        <f>IF(A20="","",TEXT(A20,"yyyymmdd")&amp;"|"&amp;C20&amp;"|"&amp;D20&amp;"|"&amp;TEXT(H20,"hhmm")&amp;"|"&amp;TEXT(F20,"yyyymmddhhmmss"))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>
        <f>IF(A21="","",MAX(0,J21-K21))</f>
        <v/>
      </c>
      <c r="N21" s="4">
        <f>IFERROR(K21/J21,0)</f>
        <v/>
      </c>
      <c r="O21" s="3">
        <f>IF(A21="","",ROUND(((A21+I21)-NOW())*1440,0))</f>
        <v/>
      </c>
      <c r="P21" s="3">
        <f>IF(A21="","",IF(AND(M21&gt;0,O21&gt;90),"SIM","NAO"))</f>
        <v/>
      </c>
      <c r="Q21" s="3">
        <f>IF(A21="","",IF(P21&lt;&gt;"SIM","Nao acionar",IF(SUMIFS(M:M,A:A,A21,C:C,C21,P:P,"SIM")&lt;=2,"Blip Desk","Blip Portal")))</f>
        <v/>
      </c>
      <c r="R21" s="3">
        <f>IF(A21="","",TEXT(A21,"yyyymmdd")&amp;"|"&amp;C21&amp;"|"&amp;D21&amp;"|"&amp;TEXT(H21,"hhmm")&amp;"|"&amp;TEXT(F21,"yyyymmddhhmmss"))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>
        <f>IF(A22="","",MAX(0,J22-K22))</f>
        <v/>
      </c>
      <c r="N22" s="4">
        <f>IFERROR(K22/J22,0)</f>
        <v/>
      </c>
      <c r="O22" s="3">
        <f>IF(A22="","",ROUND(((A22+I22)-NOW())*1440,0))</f>
        <v/>
      </c>
      <c r="P22" s="3">
        <f>IF(A22="","",IF(AND(M22&gt;0,O22&gt;90),"SIM","NAO"))</f>
        <v/>
      </c>
      <c r="Q22" s="3">
        <f>IF(A22="","",IF(P22&lt;&gt;"SIM","Nao acionar",IF(SUMIFS(M:M,A:A,A22,C:C,C22,P:P,"SIM")&lt;=2,"Blip Desk","Blip Portal")))</f>
        <v/>
      </c>
      <c r="R22" s="3">
        <f>IF(A22="","",TEXT(A22,"yyyymmdd")&amp;"|"&amp;C22&amp;"|"&amp;D22&amp;"|"&amp;TEXT(H22,"hhmm")&amp;"|"&amp;TEXT(F22,"yyyymmddhhmmss"))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>
        <f>IF(A23="","",MAX(0,J23-K23))</f>
        <v/>
      </c>
      <c r="N23" s="4">
        <f>IFERROR(K23/J23,0)</f>
        <v/>
      </c>
      <c r="O23" s="3">
        <f>IF(A23="","",ROUND(((A23+I23)-NOW())*1440,0))</f>
        <v/>
      </c>
      <c r="P23" s="3">
        <f>IF(A23="","",IF(AND(M23&gt;0,O23&gt;90),"SIM","NAO"))</f>
        <v/>
      </c>
      <c r="Q23" s="3">
        <f>IF(A23="","",IF(P23&lt;&gt;"SIM","Nao acionar",IF(SUMIFS(M:M,A:A,A23,C:C,C23,P:P,"SIM")&lt;=2,"Blip Desk","Blip Portal")))</f>
        <v/>
      </c>
      <c r="R23" s="3">
        <f>IF(A23="","",TEXT(A23,"yyyymmdd")&amp;"|"&amp;C23&amp;"|"&amp;D23&amp;"|"&amp;TEXT(H23,"hhmm")&amp;"|"&amp;TEXT(F23,"yyyymmddhhmmss"))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>
        <f>IF(A24="","",MAX(0,J24-K24))</f>
        <v/>
      </c>
      <c r="N24" s="4">
        <f>IFERROR(K24/J24,0)</f>
        <v/>
      </c>
      <c r="O24" s="3">
        <f>IF(A24="","",ROUND(((A24+I24)-NOW())*1440,0))</f>
        <v/>
      </c>
      <c r="P24" s="3">
        <f>IF(A24="","",IF(AND(M24&gt;0,O24&gt;90),"SIM","NAO"))</f>
        <v/>
      </c>
      <c r="Q24" s="3">
        <f>IF(A24="","",IF(P24&lt;&gt;"SIM","Nao acionar",IF(SUMIFS(M:M,A:A,A24,C:C,C24,P:P,"SIM")&lt;=2,"Blip Desk","Blip Portal")))</f>
        <v/>
      </c>
      <c r="R24" s="3">
        <f>IF(A24="","",TEXT(A24,"yyyymmdd")&amp;"|"&amp;C24&amp;"|"&amp;D24&amp;"|"&amp;TEXT(H24,"hhmm")&amp;"|"&amp;TEXT(F24,"yyyymmddhhmmss"))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>
        <f>IF(A25="","",MAX(0,J25-K25))</f>
        <v/>
      </c>
      <c r="N25" s="4">
        <f>IFERROR(K25/J25,0)</f>
        <v/>
      </c>
      <c r="O25" s="3">
        <f>IF(A25="","",ROUND(((A25+I25)-NOW())*1440,0))</f>
        <v/>
      </c>
      <c r="P25" s="3">
        <f>IF(A25="","",IF(AND(M25&gt;0,O25&gt;90),"SIM","NAO"))</f>
        <v/>
      </c>
      <c r="Q25" s="3">
        <f>IF(A25="","",IF(P25&lt;&gt;"SIM","Nao acionar",IF(SUMIFS(M:M,A:A,A25,C:C,C25,P:P,"SIM")&lt;=2,"Blip Desk","Blip Portal")))</f>
        <v/>
      </c>
      <c r="R25" s="3">
        <f>IF(A25="","",TEXT(A25,"yyyymmdd")&amp;"|"&amp;C25&amp;"|"&amp;D25&amp;"|"&amp;TEXT(H25,"hhmm")&amp;"|"&amp;TEXT(F25,"yyyymmddhhmmss"))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>
        <f>IF(A26="","",MAX(0,J26-K26))</f>
        <v/>
      </c>
      <c r="N26" s="4">
        <f>IFERROR(K26/J26,0)</f>
        <v/>
      </c>
      <c r="O26" s="3">
        <f>IF(A26="","",ROUND(((A26+I26)-NOW())*1440,0))</f>
        <v/>
      </c>
      <c r="P26" s="3">
        <f>IF(A26="","",IF(AND(M26&gt;0,O26&gt;90),"SIM","NAO"))</f>
        <v/>
      </c>
      <c r="Q26" s="3">
        <f>IF(A26="","",IF(P26&lt;&gt;"SIM","Nao acionar",IF(SUMIFS(M:M,A:A,A26,C:C,C26,P:P,"SIM")&lt;=2,"Blip Desk","Blip Portal")))</f>
        <v/>
      </c>
      <c r="R26" s="3">
        <f>IF(A26="","",TEXT(A26,"yyyymmdd")&amp;"|"&amp;C26&amp;"|"&amp;D26&amp;"|"&amp;TEXT(H26,"hhmm")&amp;"|"&amp;TEXT(F26,"yyyymmddhhmmss"))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>
        <f>IF(A27="","",MAX(0,J27-K27))</f>
        <v/>
      </c>
      <c r="N27" s="4">
        <f>IFERROR(K27/J27,0)</f>
        <v/>
      </c>
      <c r="O27" s="3">
        <f>IF(A27="","",ROUND(((A27+I27)-NOW())*1440,0))</f>
        <v/>
      </c>
      <c r="P27" s="3">
        <f>IF(A27="","",IF(AND(M27&gt;0,O27&gt;90),"SIM","NAO"))</f>
        <v/>
      </c>
      <c r="Q27" s="3">
        <f>IF(A27="","",IF(P27&lt;&gt;"SIM","Nao acionar",IF(SUMIFS(M:M,A:A,A27,C:C,C27,P:P,"SIM")&lt;=2,"Blip Desk","Blip Portal")))</f>
        <v/>
      </c>
      <c r="R27" s="3">
        <f>IF(A27="","",TEXT(A27,"yyyymmdd")&amp;"|"&amp;C27&amp;"|"&amp;D27&amp;"|"&amp;TEXT(H27,"hhmm")&amp;"|"&amp;TEXT(F27,"yyyymmddhhmmss"))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>
        <f>IF(A28="","",MAX(0,J28-K28))</f>
        <v/>
      </c>
      <c r="N28" s="4">
        <f>IFERROR(K28/J28,0)</f>
        <v/>
      </c>
      <c r="O28" s="3">
        <f>IF(A28="","",ROUND(((A28+I28)-NOW())*1440,0))</f>
        <v/>
      </c>
      <c r="P28" s="3">
        <f>IF(A28="","",IF(AND(M28&gt;0,O28&gt;90),"SIM","NAO"))</f>
        <v/>
      </c>
      <c r="Q28" s="3">
        <f>IF(A28="","",IF(P28&lt;&gt;"SIM","Nao acionar",IF(SUMIFS(M:M,A:A,A28,C:C,C28,P:P,"SIM")&lt;=2,"Blip Desk","Blip Portal")))</f>
        <v/>
      </c>
      <c r="R28" s="3">
        <f>IF(A28="","",TEXT(A28,"yyyymmdd")&amp;"|"&amp;C28&amp;"|"&amp;D28&amp;"|"&amp;TEXT(H28,"hhmm")&amp;"|"&amp;TEXT(F28,"yyyymmddhhmmss"))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>
        <f>IF(A29="","",MAX(0,J29-K29))</f>
        <v/>
      </c>
      <c r="N29" s="4">
        <f>IFERROR(K29/J29,0)</f>
        <v/>
      </c>
      <c r="O29" s="3">
        <f>IF(A29="","",ROUND(((A29+I29)-NOW())*1440,0))</f>
        <v/>
      </c>
      <c r="P29" s="3">
        <f>IF(A29="","",IF(AND(M29&gt;0,O29&gt;90),"SIM","NAO"))</f>
        <v/>
      </c>
      <c r="Q29" s="3">
        <f>IF(A29="","",IF(P29&lt;&gt;"SIM","Nao acionar",IF(SUMIFS(M:M,A:A,A29,C:C,C29,P:P,"SIM")&lt;=2,"Blip Desk","Blip Portal")))</f>
        <v/>
      </c>
      <c r="R29" s="3">
        <f>IF(A29="","",TEXT(A29,"yyyymmdd")&amp;"|"&amp;C29&amp;"|"&amp;D29&amp;"|"&amp;TEXT(H29,"hhmm")&amp;"|"&amp;TEXT(F29,"yyyymmddhhmmss"))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>
        <f>IF(A30="","",MAX(0,J30-K30))</f>
        <v/>
      </c>
      <c r="N30" s="4">
        <f>IFERROR(K30/J30,0)</f>
        <v/>
      </c>
      <c r="O30" s="3">
        <f>IF(A30="","",ROUND(((A30+I30)-NOW())*1440,0))</f>
        <v/>
      </c>
      <c r="P30" s="3">
        <f>IF(A30="","",IF(AND(M30&gt;0,O30&gt;90),"SIM","NAO"))</f>
        <v/>
      </c>
      <c r="Q30" s="3">
        <f>IF(A30="","",IF(P30&lt;&gt;"SIM","Nao acionar",IF(SUMIFS(M:M,A:A,A30,C:C,C30,P:P,"SIM")&lt;=2,"Blip Desk","Blip Portal")))</f>
        <v/>
      </c>
      <c r="R30" s="3">
        <f>IF(A30="","",TEXT(A30,"yyyymmdd")&amp;"|"&amp;C30&amp;"|"&amp;D30&amp;"|"&amp;TEXT(H30,"hhmm")&amp;"|"&amp;TEXT(F30,"yyyymmddhhmmss"))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>
        <f>IF(A31="","",MAX(0,J31-K31))</f>
        <v/>
      </c>
      <c r="N31" s="4">
        <f>IFERROR(K31/J31,0)</f>
        <v/>
      </c>
      <c r="O31" s="3">
        <f>IF(A31="","",ROUND(((A31+I31)-NOW())*1440,0))</f>
        <v/>
      </c>
      <c r="P31" s="3">
        <f>IF(A31="","",IF(AND(M31&gt;0,O31&gt;90),"SIM","NAO"))</f>
        <v/>
      </c>
      <c r="Q31" s="3">
        <f>IF(A31="","",IF(P31&lt;&gt;"SIM","Nao acionar",IF(SUMIFS(M:M,A:A,A31,C:C,C31,P:P,"SIM")&lt;=2,"Blip Desk","Blip Portal")))</f>
        <v/>
      </c>
      <c r="R31" s="3">
        <f>IF(A31="","",TEXT(A31,"yyyymmdd")&amp;"|"&amp;C31&amp;"|"&amp;D31&amp;"|"&amp;TEXT(H31,"hhmm")&amp;"|"&amp;TEXT(F31,"yyyymmddhhmmss"))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>
        <f>IF(A32="","",MAX(0,J32-K32))</f>
        <v/>
      </c>
      <c r="N32" s="4">
        <f>IFERROR(K32/J32,0)</f>
        <v/>
      </c>
      <c r="O32" s="3">
        <f>IF(A32="","",ROUND(((A32+I32)-NOW())*1440,0))</f>
        <v/>
      </c>
      <c r="P32" s="3">
        <f>IF(A32="","",IF(AND(M32&gt;0,O32&gt;90),"SIM","NAO"))</f>
        <v/>
      </c>
      <c r="Q32" s="3">
        <f>IF(A32="","",IF(P32&lt;&gt;"SIM","Nao acionar",IF(SUMIFS(M:M,A:A,A32,C:C,C32,P:P,"SIM")&lt;=2,"Blip Desk","Blip Portal")))</f>
        <v/>
      </c>
      <c r="R32" s="3">
        <f>IF(A32="","",TEXT(A32,"yyyymmdd")&amp;"|"&amp;C32&amp;"|"&amp;D32&amp;"|"&amp;TEXT(H32,"hhmm")&amp;"|"&amp;TEXT(F32,"yyyymmddhhmmss"))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>
        <f>IF(A33="","",MAX(0,J33-K33))</f>
        <v/>
      </c>
      <c r="N33" s="4">
        <f>IFERROR(K33/J33,0)</f>
        <v/>
      </c>
      <c r="O33" s="3">
        <f>IF(A33="","",ROUND(((A33+I33)-NOW())*1440,0))</f>
        <v/>
      </c>
      <c r="P33" s="3">
        <f>IF(A33="","",IF(AND(M33&gt;0,O33&gt;90),"SIM","NAO"))</f>
        <v/>
      </c>
      <c r="Q33" s="3">
        <f>IF(A33="","",IF(P33&lt;&gt;"SIM","Nao acionar",IF(SUMIFS(M:M,A:A,A33,C:C,C33,P:P,"SIM")&lt;=2,"Blip Desk","Blip Portal")))</f>
        <v/>
      </c>
      <c r="R33" s="3">
        <f>IF(A33="","",TEXT(A33,"yyyymmdd")&amp;"|"&amp;C33&amp;"|"&amp;D33&amp;"|"&amp;TEXT(H33,"hhmm")&amp;"|"&amp;TEXT(F33,"yyyymmddhhmmss"))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>
        <f>IF(A34="","",MAX(0,J34-K34))</f>
        <v/>
      </c>
      <c r="N34" s="4">
        <f>IFERROR(K34/J34,0)</f>
        <v/>
      </c>
      <c r="O34" s="3">
        <f>IF(A34="","",ROUND(((A34+I34)-NOW())*1440,0))</f>
        <v/>
      </c>
      <c r="P34" s="3">
        <f>IF(A34="","",IF(AND(M34&gt;0,O34&gt;90),"SIM","NAO"))</f>
        <v/>
      </c>
      <c r="Q34" s="3">
        <f>IF(A34="","",IF(P34&lt;&gt;"SIM","Nao acionar",IF(SUMIFS(M:M,A:A,A34,C:C,C34,P:P,"SIM")&lt;=2,"Blip Desk","Blip Portal")))</f>
        <v/>
      </c>
      <c r="R34" s="3">
        <f>IF(A34="","",TEXT(A34,"yyyymmdd")&amp;"|"&amp;C34&amp;"|"&amp;D34&amp;"|"&amp;TEXT(H34,"hhmm")&amp;"|"&amp;TEXT(F34,"yyyymmddhhmmss"))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>
        <f>IF(A35="","",MAX(0,J35-K35))</f>
        <v/>
      </c>
      <c r="N35" s="4">
        <f>IFERROR(K35/J35,0)</f>
        <v/>
      </c>
      <c r="O35" s="3">
        <f>IF(A35="","",ROUND(((A35+I35)-NOW())*1440,0))</f>
        <v/>
      </c>
      <c r="P35" s="3">
        <f>IF(A35="","",IF(AND(M35&gt;0,O35&gt;90),"SIM","NAO"))</f>
        <v/>
      </c>
      <c r="Q35" s="3">
        <f>IF(A35="","",IF(P35&lt;&gt;"SIM","Nao acionar",IF(SUMIFS(M:M,A:A,A35,C:C,C35,P:P,"SIM")&lt;=2,"Blip Desk","Blip Portal")))</f>
        <v/>
      </c>
      <c r="R35" s="3">
        <f>IF(A35="","",TEXT(A35,"yyyymmdd")&amp;"|"&amp;C35&amp;"|"&amp;D35&amp;"|"&amp;TEXT(H35,"hhmm")&amp;"|"&amp;TEXT(F35,"yyyymmddhhmmss"))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>
        <f>IF(A36="","",MAX(0,J36-K36))</f>
        <v/>
      </c>
      <c r="N36" s="4">
        <f>IFERROR(K36/J36,0)</f>
        <v/>
      </c>
      <c r="O36" s="3">
        <f>IF(A36="","",ROUND(((A36+I36)-NOW())*1440,0))</f>
        <v/>
      </c>
      <c r="P36" s="3">
        <f>IF(A36="","",IF(AND(M36&gt;0,O36&gt;90),"SIM","NAO"))</f>
        <v/>
      </c>
      <c r="Q36" s="3">
        <f>IF(A36="","",IF(P36&lt;&gt;"SIM","Nao acionar",IF(SUMIFS(M:M,A:A,A36,C:C,C36,P:P,"SIM")&lt;=2,"Blip Desk","Blip Portal")))</f>
        <v/>
      </c>
      <c r="R36" s="3">
        <f>IF(A36="","",TEXT(A36,"yyyymmdd")&amp;"|"&amp;C36&amp;"|"&amp;D36&amp;"|"&amp;TEXT(H36,"hhmm")&amp;"|"&amp;TEXT(F36,"yyyymmddhhmmss"))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>
        <f>IF(A37="","",MAX(0,J37-K37))</f>
        <v/>
      </c>
      <c r="N37" s="4">
        <f>IFERROR(K37/J37,0)</f>
        <v/>
      </c>
      <c r="O37" s="3">
        <f>IF(A37="","",ROUND(((A37+I37)-NOW())*1440,0))</f>
        <v/>
      </c>
      <c r="P37" s="3">
        <f>IF(A37="","",IF(AND(M37&gt;0,O37&gt;90),"SIM","NAO"))</f>
        <v/>
      </c>
      <c r="Q37" s="3">
        <f>IF(A37="","",IF(P37&lt;&gt;"SIM","Nao acionar",IF(SUMIFS(M:M,A:A,A37,C:C,C37,P:P,"SIM")&lt;=2,"Blip Desk","Blip Portal")))</f>
        <v/>
      </c>
      <c r="R37" s="3">
        <f>IF(A37="","",TEXT(A37,"yyyymmdd")&amp;"|"&amp;C37&amp;"|"&amp;D37&amp;"|"&amp;TEXT(H37,"hhmm")&amp;"|"&amp;TEXT(F37,"yyyymmddhhmmss"))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>
        <f>IF(A38="","",MAX(0,J38-K38))</f>
        <v/>
      </c>
      <c r="N38" s="4">
        <f>IFERROR(K38/J38,0)</f>
        <v/>
      </c>
      <c r="O38" s="3">
        <f>IF(A38="","",ROUND(((A38+I38)-NOW())*1440,0))</f>
        <v/>
      </c>
      <c r="P38" s="3">
        <f>IF(A38="","",IF(AND(M38&gt;0,O38&gt;90),"SIM","NAO"))</f>
        <v/>
      </c>
      <c r="Q38" s="3">
        <f>IF(A38="","",IF(P38&lt;&gt;"SIM","Nao acionar",IF(SUMIFS(M:M,A:A,A38,C:C,C38,P:P,"SIM")&lt;=2,"Blip Desk","Blip Portal")))</f>
        <v/>
      </c>
      <c r="R38" s="3">
        <f>IF(A38="","",TEXT(A38,"yyyymmdd")&amp;"|"&amp;C38&amp;"|"&amp;D38&amp;"|"&amp;TEXT(H38,"hhmm")&amp;"|"&amp;TEXT(F38,"yyyymmddhhmmss"))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>
        <f>IF(A39="","",MAX(0,J39-K39))</f>
        <v/>
      </c>
      <c r="N39" s="4">
        <f>IFERROR(K39/J39,0)</f>
        <v/>
      </c>
      <c r="O39" s="3">
        <f>IF(A39="","",ROUND(((A39+I39)-NOW())*1440,0))</f>
        <v/>
      </c>
      <c r="P39" s="3">
        <f>IF(A39="","",IF(AND(M39&gt;0,O39&gt;90),"SIM","NAO"))</f>
        <v/>
      </c>
      <c r="Q39" s="3">
        <f>IF(A39="","",IF(P39&lt;&gt;"SIM","Nao acionar",IF(SUMIFS(M:M,A:A,A39,C:C,C39,P:P,"SIM")&lt;=2,"Blip Desk","Blip Portal")))</f>
        <v/>
      </c>
      <c r="R39" s="3">
        <f>IF(A39="","",TEXT(A39,"yyyymmdd")&amp;"|"&amp;C39&amp;"|"&amp;D39&amp;"|"&amp;TEXT(H39,"hhmm")&amp;"|"&amp;TEXT(F39,"yyyymmddhhmmss"))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>
        <f>IF(A40="","",MAX(0,J40-K40))</f>
        <v/>
      </c>
      <c r="N40" s="4">
        <f>IFERROR(K40/J40,0)</f>
        <v/>
      </c>
      <c r="O40" s="3">
        <f>IF(A40="","",ROUND(((A40+I40)-NOW())*1440,0))</f>
        <v/>
      </c>
      <c r="P40" s="3">
        <f>IF(A40="","",IF(AND(M40&gt;0,O40&gt;90),"SIM","NAO"))</f>
        <v/>
      </c>
      <c r="Q40" s="3">
        <f>IF(A40="","",IF(P40&lt;&gt;"SIM","Nao acionar",IF(SUMIFS(M:M,A:A,A40,C:C,C40,P:P,"SIM")&lt;=2,"Blip Desk","Blip Portal")))</f>
        <v/>
      </c>
      <c r="R40" s="3">
        <f>IF(A40="","",TEXT(A40,"yyyymmdd")&amp;"|"&amp;C40&amp;"|"&amp;D40&amp;"|"&amp;TEXT(H40,"hhmm")&amp;"|"&amp;TEXT(F40,"yyyymmddhhmmss"))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>
        <f>IF(A41="","",MAX(0,J41-K41))</f>
        <v/>
      </c>
      <c r="N41" s="4">
        <f>IFERROR(K41/J41,0)</f>
        <v/>
      </c>
      <c r="O41" s="3">
        <f>IF(A41="","",ROUND(((A41+I41)-NOW())*1440,0))</f>
        <v/>
      </c>
      <c r="P41" s="3">
        <f>IF(A41="","",IF(AND(M41&gt;0,O41&gt;90),"SIM","NAO"))</f>
        <v/>
      </c>
      <c r="Q41" s="3">
        <f>IF(A41="","",IF(P41&lt;&gt;"SIM","Nao acionar",IF(SUMIFS(M:M,A:A,A41,C:C,C41,P:P,"SIM")&lt;=2,"Blip Desk","Blip Portal")))</f>
        <v/>
      </c>
      <c r="R41" s="3">
        <f>IF(A41="","",TEXT(A41,"yyyymmdd")&amp;"|"&amp;C41&amp;"|"&amp;D41&amp;"|"&amp;TEXT(H41,"hhmm")&amp;"|"&amp;TEXT(F41,"yyyymmddhhmmss"))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>
        <f>IF(A42="","",MAX(0,J42-K42))</f>
        <v/>
      </c>
      <c r="N42" s="4">
        <f>IFERROR(K42/J42,0)</f>
        <v/>
      </c>
      <c r="O42" s="3">
        <f>IF(A42="","",ROUND(((A42+I42)-NOW())*1440,0))</f>
        <v/>
      </c>
      <c r="P42" s="3">
        <f>IF(A42="","",IF(AND(M42&gt;0,O42&gt;90),"SIM","NAO"))</f>
        <v/>
      </c>
      <c r="Q42" s="3">
        <f>IF(A42="","",IF(P42&lt;&gt;"SIM","Nao acionar",IF(SUMIFS(M:M,A:A,A42,C:C,C42,P:P,"SIM")&lt;=2,"Blip Desk","Blip Portal")))</f>
        <v/>
      </c>
      <c r="R42" s="3">
        <f>IF(A42="","",TEXT(A42,"yyyymmdd")&amp;"|"&amp;C42&amp;"|"&amp;D42&amp;"|"&amp;TEXT(H42,"hhmm")&amp;"|"&amp;TEXT(F42,"yyyymmddhhmmss"))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>
        <f>IF(A43="","",MAX(0,J43-K43))</f>
        <v/>
      </c>
      <c r="N43" s="4">
        <f>IFERROR(K43/J43,0)</f>
        <v/>
      </c>
      <c r="O43" s="3">
        <f>IF(A43="","",ROUND(((A43+I43)-NOW())*1440,0))</f>
        <v/>
      </c>
      <c r="P43" s="3">
        <f>IF(A43="","",IF(AND(M43&gt;0,O43&gt;90),"SIM","NAO"))</f>
        <v/>
      </c>
      <c r="Q43" s="3">
        <f>IF(A43="","",IF(P43&lt;&gt;"SIM","Nao acionar",IF(SUMIFS(M:M,A:A,A43,C:C,C43,P:P,"SIM")&lt;=2,"Blip Desk","Blip Portal")))</f>
        <v/>
      </c>
      <c r="R43" s="3">
        <f>IF(A43="","",TEXT(A43,"yyyymmdd")&amp;"|"&amp;C43&amp;"|"&amp;D43&amp;"|"&amp;TEXT(H43,"hhmm")&amp;"|"&amp;TEXT(F43,"yyyymmddhhmmss"))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>
        <f>IF(A44="","",MAX(0,J44-K44))</f>
        <v/>
      </c>
      <c r="N44" s="4">
        <f>IFERROR(K44/J44,0)</f>
        <v/>
      </c>
      <c r="O44" s="3">
        <f>IF(A44="","",ROUND(((A44+I44)-NOW())*1440,0))</f>
        <v/>
      </c>
      <c r="P44" s="3">
        <f>IF(A44="","",IF(AND(M44&gt;0,O44&gt;90),"SIM","NAO"))</f>
        <v/>
      </c>
      <c r="Q44" s="3">
        <f>IF(A44="","",IF(P44&lt;&gt;"SIM","Nao acionar",IF(SUMIFS(M:M,A:A,A44,C:C,C44,P:P,"SIM")&lt;=2,"Blip Desk","Blip Portal")))</f>
        <v/>
      </c>
      <c r="R44" s="3">
        <f>IF(A44="","",TEXT(A44,"yyyymmdd")&amp;"|"&amp;C44&amp;"|"&amp;D44&amp;"|"&amp;TEXT(H44,"hhmm")&amp;"|"&amp;TEXT(F44,"yyyymmddhhmmss"))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>
        <f>IF(A45="","",MAX(0,J45-K45))</f>
        <v/>
      </c>
      <c r="N45" s="4">
        <f>IFERROR(K45/J45,0)</f>
        <v/>
      </c>
      <c r="O45" s="3">
        <f>IF(A45="","",ROUND(((A45+I45)-NOW())*1440,0))</f>
        <v/>
      </c>
      <c r="P45" s="3">
        <f>IF(A45="","",IF(AND(M45&gt;0,O45&gt;90),"SIM","NAO"))</f>
        <v/>
      </c>
      <c r="Q45" s="3">
        <f>IF(A45="","",IF(P45&lt;&gt;"SIM","Nao acionar",IF(SUMIFS(M:M,A:A,A45,C:C,C45,P:P,"SIM")&lt;=2,"Blip Desk","Blip Portal")))</f>
        <v/>
      </c>
      <c r="R45" s="3">
        <f>IF(A45="","",TEXT(A45,"yyyymmdd")&amp;"|"&amp;C45&amp;"|"&amp;D45&amp;"|"&amp;TEXT(H45,"hhmm")&amp;"|"&amp;TEXT(F45,"yyyymmddhhmmss"))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>
        <f>IF(A46="","",MAX(0,J46-K46))</f>
        <v/>
      </c>
      <c r="N46" s="4">
        <f>IFERROR(K46/J46,0)</f>
        <v/>
      </c>
      <c r="O46" s="3">
        <f>IF(A46="","",ROUND(((A46+I46)-NOW())*1440,0))</f>
        <v/>
      </c>
      <c r="P46" s="3">
        <f>IF(A46="","",IF(AND(M46&gt;0,O46&gt;90),"SIM","NAO"))</f>
        <v/>
      </c>
      <c r="Q46" s="3">
        <f>IF(A46="","",IF(P46&lt;&gt;"SIM","Nao acionar",IF(SUMIFS(M:M,A:A,A46,C:C,C46,P:P,"SIM")&lt;=2,"Blip Desk","Blip Portal")))</f>
        <v/>
      </c>
      <c r="R46" s="3">
        <f>IF(A46="","",TEXT(A46,"yyyymmdd")&amp;"|"&amp;C46&amp;"|"&amp;D46&amp;"|"&amp;TEXT(H46,"hhmm")&amp;"|"&amp;TEXT(F46,"yyyymmddhhmmss"))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>
        <f>IF(A47="","",MAX(0,J47-K47))</f>
        <v/>
      </c>
      <c r="N47" s="4">
        <f>IFERROR(K47/J47,0)</f>
        <v/>
      </c>
      <c r="O47" s="3">
        <f>IF(A47="","",ROUND(((A47+I47)-NOW())*1440,0))</f>
        <v/>
      </c>
      <c r="P47" s="3">
        <f>IF(A47="","",IF(AND(M47&gt;0,O47&gt;90),"SIM","NAO"))</f>
        <v/>
      </c>
      <c r="Q47" s="3">
        <f>IF(A47="","",IF(P47&lt;&gt;"SIM","Nao acionar",IF(SUMIFS(M:M,A:A,A47,C:C,C47,P:P,"SIM")&lt;=2,"Blip Desk","Blip Portal")))</f>
        <v/>
      </c>
      <c r="R47" s="3">
        <f>IF(A47="","",TEXT(A47,"yyyymmdd")&amp;"|"&amp;C47&amp;"|"&amp;D47&amp;"|"&amp;TEXT(H47,"hhmm")&amp;"|"&amp;TEXT(F47,"yyyymmddhhmmss"))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>
        <f>IF(A48="","",MAX(0,J48-K48))</f>
        <v/>
      </c>
      <c r="N48" s="4">
        <f>IFERROR(K48/J48,0)</f>
        <v/>
      </c>
      <c r="O48" s="3">
        <f>IF(A48="","",ROUND(((A48+I48)-NOW())*1440,0))</f>
        <v/>
      </c>
      <c r="P48" s="3">
        <f>IF(A48="","",IF(AND(M48&gt;0,O48&gt;90),"SIM","NAO"))</f>
        <v/>
      </c>
      <c r="Q48" s="3">
        <f>IF(A48="","",IF(P48&lt;&gt;"SIM","Nao acionar",IF(SUMIFS(M:M,A:A,A48,C:C,C48,P:P,"SIM")&lt;=2,"Blip Desk","Blip Portal")))</f>
        <v/>
      </c>
      <c r="R48" s="3">
        <f>IF(A48="","",TEXT(A48,"yyyymmdd")&amp;"|"&amp;C48&amp;"|"&amp;D48&amp;"|"&amp;TEXT(H48,"hhmm")&amp;"|"&amp;TEXT(F48,"yyyymmddhhmmss"))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>
        <f>IF(A49="","",MAX(0,J49-K49))</f>
        <v/>
      </c>
      <c r="N49" s="4">
        <f>IFERROR(K49/J49,0)</f>
        <v/>
      </c>
      <c r="O49" s="3">
        <f>IF(A49="","",ROUND(((A49+I49)-NOW())*1440,0))</f>
        <v/>
      </c>
      <c r="P49" s="3">
        <f>IF(A49="","",IF(AND(M49&gt;0,O49&gt;90),"SIM","NAO"))</f>
        <v/>
      </c>
      <c r="Q49" s="3">
        <f>IF(A49="","",IF(P49&lt;&gt;"SIM","Nao acionar",IF(SUMIFS(M:M,A:A,A49,C:C,C49,P:P,"SIM")&lt;=2,"Blip Desk","Blip Portal")))</f>
        <v/>
      </c>
      <c r="R49" s="3">
        <f>IF(A49="","",TEXT(A49,"yyyymmdd")&amp;"|"&amp;C49&amp;"|"&amp;D49&amp;"|"&amp;TEXT(H49,"hhmm")&amp;"|"&amp;TEXT(F49,"yyyymmddhhmmss"))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>
        <f>IF(A50="","",MAX(0,J50-K50))</f>
        <v/>
      </c>
      <c r="N50" s="4">
        <f>IFERROR(K50/J50,0)</f>
        <v/>
      </c>
      <c r="O50" s="3">
        <f>IF(A50="","",ROUND(((A50+I50)-NOW())*1440,0))</f>
        <v/>
      </c>
      <c r="P50" s="3">
        <f>IF(A50="","",IF(AND(M50&gt;0,O50&gt;90),"SIM","NAO"))</f>
        <v/>
      </c>
      <c r="Q50" s="3">
        <f>IF(A50="","",IF(P50&lt;&gt;"SIM","Nao acionar",IF(SUMIFS(M:M,A:A,A50,C:C,C50,P:P,"SIM")&lt;=2,"Blip Desk","Blip Portal")))</f>
        <v/>
      </c>
      <c r="R50" s="3">
        <f>IF(A50="","",TEXT(A50,"yyyymmdd")&amp;"|"&amp;C50&amp;"|"&amp;D50&amp;"|"&amp;TEXT(H50,"hhmm")&amp;"|"&amp;TEXT(F50,"yyyymmddhhmmss"))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>
        <f>IF(A51="","",MAX(0,J51-K51))</f>
        <v/>
      </c>
      <c r="N51" s="4">
        <f>IFERROR(K51/J51,0)</f>
        <v/>
      </c>
      <c r="O51" s="3">
        <f>IF(A51="","",ROUND(((A51+I51)-NOW())*1440,0))</f>
        <v/>
      </c>
      <c r="P51" s="3">
        <f>IF(A51="","",IF(AND(M51&gt;0,O51&gt;90),"SIM","NAO"))</f>
        <v/>
      </c>
      <c r="Q51" s="3">
        <f>IF(A51="","",IF(P51&lt;&gt;"SIM","Nao acionar",IF(SUMIFS(M:M,A:A,A51,C:C,C51,P:P,"SIM")&lt;=2,"Blip Desk","Blip Portal")))</f>
        <v/>
      </c>
      <c r="R51" s="3">
        <f>IF(A51="","",TEXT(A51,"yyyymmdd")&amp;"|"&amp;C51&amp;"|"&amp;D51&amp;"|"&amp;TEXT(H51,"hhmm")&amp;"|"&amp;TEXT(F51,"yyyymmddhhmmss"))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>
        <f>IF(A52="","",MAX(0,J52-K52))</f>
        <v/>
      </c>
      <c r="N52" s="4">
        <f>IFERROR(K52/J52,0)</f>
        <v/>
      </c>
      <c r="O52" s="3">
        <f>IF(A52="","",ROUND(((A52+I52)-NOW())*1440,0))</f>
        <v/>
      </c>
      <c r="P52" s="3">
        <f>IF(A52="","",IF(AND(M52&gt;0,O52&gt;90),"SIM","NAO"))</f>
        <v/>
      </c>
      <c r="Q52" s="3">
        <f>IF(A52="","",IF(P52&lt;&gt;"SIM","Nao acionar",IF(SUMIFS(M:M,A:A,A52,C:C,C52,P:P,"SIM")&lt;=2,"Blip Desk","Blip Portal")))</f>
        <v/>
      </c>
      <c r="R52" s="3">
        <f>IF(A52="","",TEXT(A52,"yyyymmdd")&amp;"|"&amp;C52&amp;"|"&amp;D52&amp;"|"&amp;TEXT(H52,"hhmm")&amp;"|"&amp;TEXT(F52,"yyyymmddhhmmss"))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>
        <f>IF(A53="","",MAX(0,J53-K53))</f>
        <v/>
      </c>
      <c r="N53" s="4">
        <f>IFERROR(K53/J53,0)</f>
        <v/>
      </c>
      <c r="O53" s="3">
        <f>IF(A53="","",ROUND(((A53+I53)-NOW())*1440,0))</f>
        <v/>
      </c>
      <c r="P53" s="3">
        <f>IF(A53="","",IF(AND(M53&gt;0,O53&gt;90),"SIM","NAO"))</f>
        <v/>
      </c>
      <c r="Q53" s="3">
        <f>IF(A53="","",IF(P53&lt;&gt;"SIM","Nao acionar",IF(SUMIFS(M:M,A:A,A53,C:C,C53,P:P,"SIM")&lt;=2,"Blip Desk","Blip Portal")))</f>
        <v/>
      </c>
      <c r="R53" s="3">
        <f>IF(A53="","",TEXT(A53,"yyyymmdd")&amp;"|"&amp;C53&amp;"|"&amp;D53&amp;"|"&amp;TEXT(H53,"hhmm")&amp;"|"&amp;TEXT(F53,"yyyymmddhhmmss"))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>
        <f>IF(A54="","",MAX(0,J54-K54))</f>
        <v/>
      </c>
      <c r="N54" s="4">
        <f>IFERROR(K54/J54,0)</f>
        <v/>
      </c>
      <c r="O54" s="3">
        <f>IF(A54="","",ROUND(((A54+I54)-NOW())*1440,0))</f>
        <v/>
      </c>
      <c r="P54" s="3">
        <f>IF(A54="","",IF(AND(M54&gt;0,O54&gt;90),"SIM","NAO"))</f>
        <v/>
      </c>
      <c r="Q54" s="3">
        <f>IF(A54="","",IF(P54&lt;&gt;"SIM","Nao acionar",IF(SUMIFS(M:M,A:A,A54,C:C,C54,P:P,"SIM")&lt;=2,"Blip Desk","Blip Portal")))</f>
        <v/>
      </c>
      <c r="R54" s="3">
        <f>IF(A54="","",TEXT(A54,"yyyymmdd")&amp;"|"&amp;C54&amp;"|"&amp;D54&amp;"|"&amp;TEXT(H54,"hhmm")&amp;"|"&amp;TEXT(F54,"yyyymmddhhmmss"))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>
        <f>IF(A55="","",MAX(0,J55-K55))</f>
        <v/>
      </c>
      <c r="N55" s="4">
        <f>IFERROR(K55/J55,0)</f>
        <v/>
      </c>
      <c r="O55" s="3">
        <f>IF(A55="","",ROUND(((A55+I55)-NOW())*1440,0))</f>
        <v/>
      </c>
      <c r="P55" s="3">
        <f>IF(A55="","",IF(AND(M55&gt;0,O55&gt;90),"SIM","NAO"))</f>
        <v/>
      </c>
      <c r="Q55" s="3">
        <f>IF(A55="","",IF(P55&lt;&gt;"SIM","Nao acionar",IF(SUMIFS(M:M,A:A,A55,C:C,C55,P:P,"SIM")&lt;=2,"Blip Desk","Blip Portal")))</f>
        <v/>
      </c>
      <c r="R55" s="3">
        <f>IF(A55="","",TEXT(A55,"yyyymmdd")&amp;"|"&amp;C55&amp;"|"&amp;D55&amp;"|"&amp;TEXT(H55,"hhmm")&amp;"|"&amp;TEXT(F55,"yyyymmddhhmmss"))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>
        <f>IF(A56="","",MAX(0,J56-K56))</f>
        <v/>
      </c>
      <c r="N56" s="4">
        <f>IFERROR(K56/J56,0)</f>
        <v/>
      </c>
      <c r="O56" s="3">
        <f>IF(A56="","",ROUND(((A56+I56)-NOW())*1440,0))</f>
        <v/>
      </c>
      <c r="P56" s="3">
        <f>IF(A56="","",IF(AND(M56&gt;0,O56&gt;90),"SIM","NAO"))</f>
        <v/>
      </c>
      <c r="Q56" s="3">
        <f>IF(A56="","",IF(P56&lt;&gt;"SIM","Nao acionar",IF(SUMIFS(M:M,A:A,A56,C:C,C56,P:P,"SIM")&lt;=2,"Blip Desk","Blip Portal")))</f>
        <v/>
      </c>
      <c r="R56" s="3">
        <f>IF(A56="","",TEXT(A56,"yyyymmdd")&amp;"|"&amp;C56&amp;"|"&amp;D56&amp;"|"&amp;TEXT(H56,"hhmm")&amp;"|"&amp;TEXT(F56,"yyyymmddhhmmss"))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>
        <f>IF(A57="","",MAX(0,J57-K57))</f>
        <v/>
      </c>
      <c r="N57" s="4">
        <f>IFERROR(K57/J57,0)</f>
        <v/>
      </c>
      <c r="O57" s="3">
        <f>IF(A57="","",ROUND(((A57+I57)-NOW())*1440,0))</f>
        <v/>
      </c>
      <c r="P57" s="3">
        <f>IF(A57="","",IF(AND(M57&gt;0,O57&gt;90),"SIM","NAO"))</f>
        <v/>
      </c>
      <c r="Q57" s="3">
        <f>IF(A57="","",IF(P57&lt;&gt;"SIM","Nao acionar",IF(SUMIFS(M:M,A:A,A57,C:C,C57,P:P,"SIM")&lt;=2,"Blip Desk","Blip Portal")))</f>
        <v/>
      </c>
      <c r="R57" s="3">
        <f>IF(A57="","",TEXT(A57,"yyyymmdd")&amp;"|"&amp;C57&amp;"|"&amp;D57&amp;"|"&amp;TEXT(H57,"hhmm")&amp;"|"&amp;TEXT(F57,"yyyymmddhhmmss"))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>
        <f>IF(A58="","",MAX(0,J58-K58))</f>
        <v/>
      </c>
      <c r="N58" s="4">
        <f>IFERROR(K58/J58,0)</f>
        <v/>
      </c>
      <c r="O58" s="3">
        <f>IF(A58="","",ROUND(((A58+I58)-NOW())*1440,0))</f>
        <v/>
      </c>
      <c r="P58" s="3">
        <f>IF(A58="","",IF(AND(M58&gt;0,O58&gt;90),"SIM","NAO"))</f>
        <v/>
      </c>
      <c r="Q58" s="3">
        <f>IF(A58="","",IF(P58&lt;&gt;"SIM","Nao acionar",IF(SUMIFS(M:M,A:A,A58,C:C,C58,P:P,"SIM")&lt;=2,"Blip Desk","Blip Portal")))</f>
        <v/>
      </c>
      <c r="R58" s="3">
        <f>IF(A58="","",TEXT(A58,"yyyymmdd")&amp;"|"&amp;C58&amp;"|"&amp;D58&amp;"|"&amp;TEXT(H58,"hhmm")&amp;"|"&amp;TEXT(F58,"yyyymmddhhmmss"))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>
        <f>IF(A59="","",MAX(0,J59-K59))</f>
        <v/>
      </c>
      <c r="N59" s="4">
        <f>IFERROR(K59/J59,0)</f>
        <v/>
      </c>
      <c r="O59" s="3">
        <f>IF(A59="","",ROUND(((A59+I59)-NOW())*1440,0))</f>
        <v/>
      </c>
      <c r="P59" s="3">
        <f>IF(A59="","",IF(AND(M59&gt;0,O59&gt;90),"SIM","NAO"))</f>
        <v/>
      </c>
      <c r="Q59" s="3">
        <f>IF(A59="","",IF(P59&lt;&gt;"SIM","Nao acionar",IF(SUMIFS(M:M,A:A,A59,C:C,C59,P:P,"SIM")&lt;=2,"Blip Desk","Blip Portal")))</f>
        <v/>
      </c>
      <c r="R59" s="3">
        <f>IF(A59="","",TEXT(A59,"yyyymmdd")&amp;"|"&amp;C59&amp;"|"&amp;D59&amp;"|"&amp;TEXT(H59,"hhmm")&amp;"|"&amp;TEXT(F59,"yyyymmddhhmmss"))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>
        <f>IF(A60="","",MAX(0,J60-K60))</f>
        <v/>
      </c>
      <c r="N60" s="4">
        <f>IFERROR(K60/J60,0)</f>
        <v/>
      </c>
      <c r="O60" s="3">
        <f>IF(A60="","",ROUND(((A60+I60)-NOW())*1440,0))</f>
        <v/>
      </c>
      <c r="P60" s="3">
        <f>IF(A60="","",IF(AND(M60&gt;0,O60&gt;90),"SIM","NAO"))</f>
        <v/>
      </c>
      <c r="Q60" s="3">
        <f>IF(A60="","",IF(P60&lt;&gt;"SIM","Nao acionar",IF(SUMIFS(M:M,A:A,A60,C:C,C60,P:P,"SIM")&lt;=2,"Blip Desk","Blip Portal")))</f>
        <v/>
      </c>
      <c r="R60" s="3">
        <f>IF(A60="","",TEXT(A60,"yyyymmdd")&amp;"|"&amp;C60&amp;"|"&amp;D60&amp;"|"&amp;TEXT(H60,"hhmm")&amp;"|"&amp;TEXT(F60,"yyyymmddhhmmss"))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>
        <f>IF(A61="","",MAX(0,J61-K61))</f>
        <v/>
      </c>
      <c r="N61" s="4">
        <f>IFERROR(K61/J61,0)</f>
        <v/>
      </c>
      <c r="O61" s="3">
        <f>IF(A61="","",ROUND(((A61+I61)-NOW())*1440,0))</f>
        <v/>
      </c>
      <c r="P61" s="3">
        <f>IF(A61="","",IF(AND(M61&gt;0,O61&gt;90),"SIM","NAO"))</f>
        <v/>
      </c>
      <c r="Q61" s="3">
        <f>IF(A61="","",IF(P61&lt;&gt;"SIM","Nao acionar",IF(SUMIFS(M:M,A:A,A61,C:C,C61,P:P,"SIM")&lt;=2,"Blip Desk","Blip Portal")))</f>
        <v/>
      </c>
      <c r="R61" s="3">
        <f>IF(A61="","",TEXT(A61,"yyyymmdd")&amp;"|"&amp;C61&amp;"|"&amp;D61&amp;"|"&amp;TEXT(H61,"hhmm")&amp;"|"&amp;TEXT(F61,"yyyymmddhhmmss"))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>
        <f>IF(A62="","",MAX(0,J62-K62))</f>
        <v/>
      </c>
      <c r="N62" s="4">
        <f>IFERROR(K62/J62,0)</f>
        <v/>
      </c>
      <c r="O62" s="3">
        <f>IF(A62="","",ROUND(((A62+I62)-NOW())*1440,0))</f>
        <v/>
      </c>
      <c r="P62" s="3">
        <f>IF(A62="","",IF(AND(M62&gt;0,O62&gt;90),"SIM","NAO"))</f>
        <v/>
      </c>
      <c r="Q62" s="3">
        <f>IF(A62="","",IF(P62&lt;&gt;"SIM","Nao acionar",IF(SUMIFS(M:M,A:A,A62,C:C,C62,P:P,"SIM")&lt;=2,"Blip Desk","Blip Portal")))</f>
        <v/>
      </c>
      <c r="R62" s="3">
        <f>IF(A62="","",TEXT(A62,"yyyymmdd")&amp;"|"&amp;C62&amp;"|"&amp;D62&amp;"|"&amp;TEXT(H62,"hhmm")&amp;"|"&amp;TEXT(F62,"yyyymmddhhmmss"))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>
        <f>IF(A63="","",MAX(0,J63-K63))</f>
        <v/>
      </c>
      <c r="N63" s="4">
        <f>IFERROR(K63/J63,0)</f>
        <v/>
      </c>
      <c r="O63" s="3">
        <f>IF(A63="","",ROUND(((A63+I63)-NOW())*1440,0))</f>
        <v/>
      </c>
      <c r="P63" s="3">
        <f>IF(A63="","",IF(AND(M63&gt;0,O63&gt;90),"SIM","NAO"))</f>
        <v/>
      </c>
      <c r="Q63" s="3">
        <f>IF(A63="","",IF(P63&lt;&gt;"SIM","Nao acionar",IF(SUMIFS(M:M,A:A,A63,C:C,C63,P:P,"SIM")&lt;=2,"Blip Desk","Blip Portal")))</f>
        <v/>
      </c>
      <c r="R63" s="3">
        <f>IF(A63="","",TEXT(A63,"yyyymmdd")&amp;"|"&amp;C63&amp;"|"&amp;D63&amp;"|"&amp;TEXT(H63,"hhmm")&amp;"|"&amp;TEXT(F63,"yyyymmddhhmmss"))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3">
        <f>IF(A64="","",MAX(0,J64-K64))</f>
        <v/>
      </c>
      <c r="N64" s="4">
        <f>IFERROR(K64/J64,0)</f>
        <v/>
      </c>
      <c r="O64" s="3">
        <f>IF(A64="","",ROUND(((A64+I64)-NOW())*1440,0))</f>
        <v/>
      </c>
      <c r="P64" s="3">
        <f>IF(A64="","",IF(AND(M64&gt;0,O64&gt;90),"SIM","NAO"))</f>
        <v/>
      </c>
      <c r="Q64" s="3">
        <f>IF(A64="","",IF(P64&lt;&gt;"SIM","Nao acionar",IF(SUMIFS(M:M,A:A,A64,C:C,C64,P:P,"SIM")&lt;=2,"Blip Desk","Blip Portal")))</f>
        <v/>
      </c>
      <c r="R64" s="3">
        <f>IF(A64="","",TEXT(A64,"yyyymmdd")&amp;"|"&amp;C64&amp;"|"&amp;D64&amp;"|"&amp;TEXT(H64,"hhmm")&amp;"|"&amp;TEXT(F64,"yyyymmddhhmmss"))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3">
        <f>IF(A65="","",MAX(0,J65-K65))</f>
        <v/>
      </c>
      <c r="N65" s="4">
        <f>IFERROR(K65/J65,0)</f>
        <v/>
      </c>
      <c r="O65" s="3">
        <f>IF(A65="","",ROUND(((A65+I65)-NOW())*1440,0))</f>
        <v/>
      </c>
      <c r="P65" s="3">
        <f>IF(A65="","",IF(AND(M65&gt;0,O65&gt;90),"SIM","NAO"))</f>
        <v/>
      </c>
      <c r="Q65" s="3">
        <f>IF(A65="","",IF(P65&lt;&gt;"SIM","Nao acionar",IF(SUMIFS(M:M,A:A,A65,C:C,C65,P:P,"SIM")&lt;=2,"Blip Desk","Blip Portal")))</f>
        <v/>
      </c>
      <c r="R65" s="3">
        <f>IF(A65="","",TEXT(A65,"yyyymmdd")&amp;"|"&amp;C65&amp;"|"&amp;D65&amp;"|"&amp;TEXT(H65,"hhmm")&amp;"|"&amp;TEXT(F65,"yyyymmddhhmmss"))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3">
        <f>IF(A66="","",MAX(0,J66-K66))</f>
        <v/>
      </c>
      <c r="N66" s="4">
        <f>IFERROR(K66/J66,0)</f>
        <v/>
      </c>
      <c r="O66" s="3">
        <f>IF(A66="","",ROUND(((A66+I66)-NOW())*1440,0))</f>
        <v/>
      </c>
      <c r="P66" s="3">
        <f>IF(A66="","",IF(AND(M66&gt;0,O66&gt;90),"SIM","NAO"))</f>
        <v/>
      </c>
      <c r="Q66" s="3">
        <f>IF(A66="","",IF(P66&lt;&gt;"SIM","Nao acionar",IF(SUMIFS(M:M,A:A,A66,C:C,C66,P:P,"SIM")&lt;=2,"Blip Desk","Blip Portal")))</f>
        <v/>
      </c>
      <c r="R66" s="3">
        <f>IF(A66="","",TEXT(A66,"yyyymmdd")&amp;"|"&amp;C66&amp;"|"&amp;D66&amp;"|"&amp;TEXT(H66,"hhmm")&amp;"|"&amp;TEXT(F66,"yyyymmddhhmmss"))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3">
        <f>IF(A67="","",MAX(0,J67-K67))</f>
        <v/>
      </c>
      <c r="N67" s="4">
        <f>IFERROR(K67/J67,0)</f>
        <v/>
      </c>
      <c r="O67" s="3">
        <f>IF(A67="","",ROUND(((A67+I67)-NOW())*1440,0))</f>
        <v/>
      </c>
      <c r="P67" s="3">
        <f>IF(A67="","",IF(AND(M67&gt;0,O67&gt;90),"SIM","NAO"))</f>
        <v/>
      </c>
      <c r="Q67" s="3">
        <f>IF(A67="","",IF(P67&lt;&gt;"SIM","Nao acionar",IF(SUMIFS(M:M,A:A,A67,C:C,C67,P:P,"SIM")&lt;=2,"Blip Desk","Blip Portal")))</f>
        <v/>
      </c>
      <c r="R67" s="3">
        <f>IF(A67="","",TEXT(A67,"yyyymmdd")&amp;"|"&amp;C67&amp;"|"&amp;D67&amp;"|"&amp;TEXT(H67,"hhmm")&amp;"|"&amp;TEXT(F67,"yyyymmddhhmmss"))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3">
        <f>IF(A68="","",MAX(0,J68-K68))</f>
        <v/>
      </c>
      <c r="N68" s="4">
        <f>IFERROR(K68/J68,0)</f>
        <v/>
      </c>
      <c r="O68" s="3">
        <f>IF(A68="","",ROUND(((A68+I68)-NOW())*1440,0))</f>
        <v/>
      </c>
      <c r="P68" s="3">
        <f>IF(A68="","",IF(AND(M68&gt;0,O68&gt;90),"SIM","NAO"))</f>
        <v/>
      </c>
      <c r="Q68" s="3">
        <f>IF(A68="","",IF(P68&lt;&gt;"SIM","Nao acionar",IF(SUMIFS(M:M,A:A,A68,C:C,C68,P:P,"SIM")&lt;=2,"Blip Desk","Blip Portal")))</f>
        <v/>
      </c>
      <c r="R68" s="3">
        <f>IF(A68="","",TEXT(A68,"yyyymmdd")&amp;"|"&amp;C68&amp;"|"&amp;D68&amp;"|"&amp;TEXT(H68,"hhmm")&amp;"|"&amp;TEXT(F68,"yyyymmddhhmmss"))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3">
        <f>IF(A69="","",MAX(0,J69-K69))</f>
        <v/>
      </c>
      <c r="N69" s="4">
        <f>IFERROR(K69/J69,0)</f>
        <v/>
      </c>
      <c r="O69" s="3">
        <f>IF(A69="","",ROUND(((A69+I69)-NOW())*1440,0))</f>
        <v/>
      </c>
      <c r="P69" s="3">
        <f>IF(A69="","",IF(AND(M69&gt;0,O69&gt;90),"SIM","NAO"))</f>
        <v/>
      </c>
      <c r="Q69" s="3">
        <f>IF(A69="","",IF(P69&lt;&gt;"SIM","Nao acionar",IF(SUMIFS(M:M,A:A,A69,C:C,C69,P:P,"SIM")&lt;=2,"Blip Desk","Blip Portal")))</f>
        <v/>
      </c>
      <c r="R69" s="3">
        <f>IF(A69="","",TEXT(A69,"yyyymmdd")&amp;"|"&amp;C69&amp;"|"&amp;D69&amp;"|"&amp;TEXT(H69,"hhmm")&amp;"|"&amp;TEXT(F69,"yyyymmddhhmmss"))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>
        <f>IF(A70="","",MAX(0,J70-K70))</f>
        <v/>
      </c>
      <c r="N70" s="4">
        <f>IFERROR(K70/J70,0)</f>
        <v/>
      </c>
      <c r="O70" s="3">
        <f>IF(A70="","",ROUND(((A70+I70)-NOW())*1440,0))</f>
        <v/>
      </c>
      <c r="P70" s="3">
        <f>IF(A70="","",IF(AND(M70&gt;0,O70&gt;90),"SIM","NAO"))</f>
        <v/>
      </c>
      <c r="Q70" s="3">
        <f>IF(A70="","",IF(P70&lt;&gt;"SIM","Nao acionar",IF(SUMIFS(M:M,A:A,A70,C:C,C70,P:P,"SIM")&lt;=2,"Blip Desk","Blip Portal")))</f>
        <v/>
      </c>
      <c r="R70" s="3">
        <f>IF(A70="","",TEXT(A70,"yyyymmdd")&amp;"|"&amp;C70&amp;"|"&amp;D70&amp;"|"&amp;TEXT(H70,"hhmm")&amp;"|"&amp;TEXT(F70,"yyyymmddhhmmss"))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>
        <f>IF(A71="","",MAX(0,J71-K71))</f>
        <v/>
      </c>
      <c r="N71" s="4">
        <f>IFERROR(K71/J71,0)</f>
        <v/>
      </c>
      <c r="O71" s="3">
        <f>IF(A71="","",ROUND(((A71+I71)-NOW())*1440,0))</f>
        <v/>
      </c>
      <c r="P71" s="3">
        <f>IF(A71="","",IF(AND(M71&gt;0,O71&gt;90),"SIM","NAO"))</f>
        <v/>
      </c>
      <c r="Q71" s="3">
        <f>IF(A71="","",IF(P71&lt;&gt;"SIM","Nao acionar",IF(SUMIFS(M:M,A:A,A71,C:C,C71,P:P,"SIM")&lt;=2,"Blip Desk","Blip Portal")))</f>
        <v/>
      </c>
      <c r="R71" s="3">
        <f>IF(A71="","",TEXT(A71,"yyyymmdd")&amp;"|"&amp;C71&amp;"|"&amp;D71&amp;"|"&amp;TEXT(H71,"hhmm")&amp;"|"&amp;TEXT(F71,"yyyymmddhhmmss"))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>
        <f>IF(A72="","",MAX(0,J72-K72))</f>
        <v/>
      </c>
      <c r="N72" s="4">
        <f>IFERROR(K72/J72,0)</f>
        <v/>
      </c>
      <c r="O72" s="3">
        <f>IF(A72="","",ROUND(((A72+I72)-NOW())*1440,0))</f>
        <v/>
      </c>
      <c r="P72" s="3">
        <f>IF(A72="","",IF(AND(M72&gt;0,O72&gt;90),"SIM","NAO"))</f>
        <v/>
      </c>
      <c r="Q72" s="3">
        <f>IF(A72="","",IF(P72&lt;&gt;"SIM","Nao acionar",IF(SUMIFS(M:M,A:A,A72,C:C,C72,P:P,"SIM")&lt;=2,"Blip Desk","Blip Portal")))</f>
        <v/>
      </c>
      <c r="R72" s="3">
        <f>IF(A72="","",TEXT(A72,"yyyymmdd")&amp;"|"&amp;C72&amp;"|"&amp;D72&amp;"|"&amp;TEXT(H72,"hhmm")&amp;"|"&amp;TEXT(F72,"yyyymmddhhmmss"))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3">
        <f>IF(A73="","",MAX(0,J73-K73))</f>
        <v/>
      </c>
      <c r="N73" s="4">
        <f>IFERROR(K73/J73,0)</f>
        <v/>
      </c>
      <c r="O73" s="3">
        <f>IF(A73="","",ROUND(((A73+I73)-NOW())*1440,0))</f>
        <v/>
      </c>
      <c r="P73" s="3">
        <f>IF(A73="","",IF(AND(M73&gt;0,O73&gt;90),"SIM","NAO"))</f>
        <v/>
      </c>
      <c r="Q73" s="3">
        <f>IF(A73="","",IF(P73&lt;&gt;"SIM","Nao acionar",IF(SUMIFS(M:M,A:A,A73,C:C,C73,P:P,"SIM")&lt;=2,"Blip Desk","Blip Portal")))</f>
        <v/>
      </c>
      <c r="R73" s="3">
        <f>IF(A73="","",TEXT(A73,"yyyymmdd")&amp;"|"&amp;C73&amp;"|"&amp;D73&amp;"|"&amp;TEXT(H73,"hhmm")&amp;"|"&amp;TEXT(F73,"yyyymmddhhmmss"))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3">
        <f>IF(A74="","",MAX(0,J74-K74))</f>
        <v/>
      </c>
      <c r="N74" s="4">
        <f>IFERROR(K74/J74,0)</f>
        <v/>
      </c>
      <c r="O74" s="3">
        <f>IF(A74="","",ROUND(((A74+I74)-NOW())*1440,0))</f>
        <v/>
      </c>
      <c r="P74" s="3">
        <f>IF(A74="","",IF(AND(M74&gt;0,O74&gt;90),"SIM","NAO"))</f>
        <v/>
      </c>
      <c r="Q74" s="3">
        <f>IF(A74="","",IF(P74&lt;&gt;"SIM","Nao acionar",IF(SUMIFS(M:M,A:A,A74,C:C,C74,P:P,"SIM")&lt;=2,"Blip Desk","Blip Portal")))</f>
        <v/>
      </c>
      <c r="R74" s="3">
        <f>IF(A74="","",TEXT(A74,"yyyymmdd")&amp;"|"&amp;C74&amp;"|"&amp;D74&amp;"|"&amp;TEXT(H74,"hhmm")&amp;"|"&amp;TEXT(F74,"yyyymmddhhmmss"))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3">
        <f>IF(A75="","",MAX(0,J75-K75))</f>
        <v/>
      </c>
      <c r="N75" s="4">
        <f>IFERROR(K75/J75,0)</f>
        <v/>
      </c>
      <c r="O75" s="3">
        <f>IF(A75="","",ROUND(((A75+I75)-NOW())*1440,0))</f>
        <v/>
      </c>
      <c r="P75" s="3">
        <f>IF(A75="","",IF(AND(M75&gt;0,O75&gt;90),"SIM","NAO"))</f>
        <v/>
      </c>
      <c r="Q75" s="3">
        <f>IF(A75="","",IF(P75&lt;&gt;"SIM","Nao acionar",IF(SUMIFS(M:M,A:A,A75,C:C,C75,P:P,"SIM")&lt;=2,"Blip Desk","Blip Portal")))</f>
        <v/>
      </c>
      <c r="R75" s="3">
        <f>IF(A75="","",TEXT(A75,"yyyymmdd")&amp;"|"&amp;C75&amp;"|"&amp;D75&amp;"|"&amp;TEXT(H75,"hhmm")&amp;"|"&amp;TEXT(F75,"yyyymmddhhmmss"))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>
        <f>IF(A76="","",MAX(0,J76-K76))</f>
        <v/>
      </c>
      <c r="N76" s="4">
        <f>IFERROR(K76/J76,0)</f>
        <v/>
      </c>
      <c r="O76" s="3">
        <f>IF(A76="","",ROUND(((A76+I76)-NOW())*1440,0))</f>
        <v/>
      </c>
      <c r="P76" s="3">
        <f>IF(A76="","",IF(AND(M76&gt;0,O76&gt;90),"SIM","NAO"))</f>
        <v/>
      </c>
      <c r="Q76" s="3">
        <f>IF(A76="","",IF(P76&lt;&gt;"SIM","Nao acionar",IF(SUMIFS(M:M,A:A,A76,C:C,C76,P:P,"SIM")&lt;=2,"Blip Desk","Blip Portal")))</f>
        <v/>
      </c>
      <c r="R76" s="3">
        <f>IF(A76="","",TEXT(A76,"yyyymmdd")&amp;"|"&amp;C76&amp;"|"&amp;D76&amp;"|"&amp;TEXT(H76,"hhmm")&amp;"|"&amp;TEXT(F76,"yyyymmddhhmmss"))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3">
        <f>IF(A77="","",MAX(0,J77-K77))</f>
        <v/>
      </c>
      <c r="N77" s="4">
        <f>IFERROR(K77/J77,0)</f>
        <v/>
      </c>
      <c r="O77" s="3">
        <f>IF(A77="","",ROUND(((A77+I77)-NOW())*1440,0))</f>
        <v/>
      </c>
      <c r="P77" s="3">
        <f>IF(A77="","",IF(AND(M77&gt;0,O77&gt;90),"SIM","NAO"))</f>
        <v/>
      </c>
      <c r="Q77" s="3">
        <f>IF(A77="","",IF(P77&lt;&gt;"SIM","Nao acionar",IF(SUMIFS(M:M,A:A,A77,C:C,C77,P:P,"SIM")&lt;=2,"Blip Desk","Blip Portal")))</f>
        <v/>
      </c>
      <c r="R77" s="3">
        <f>IF(A77="","",TEXT(A77,"yyyymmdd")&amp;"|"&amp;C77&amp;"|"&amp;D77&amp;"|"&amp;TEXT(H77,"hhmm")&amp;"|"&amp;TEXT(F77,"yyyymmddhhmmss"))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3">
        <f>IF(A78="","",MAX(0,J78-K78))</f>
        <v/>
      </c>
      <c r="N78" s="4">
        <f>IFERROR(K78/J78,0)</f>
        <v/>
      </c>
      <c r="O78" s="3">
        <f>IF(A78="","",ROUND(((A78+I78)-NOW())*1440,0))</f>
        <v/>
      </c>
      <c r="P78" s="3">
        <f>IF(A78="","",IF(AND(M78&gt;0,O78&gt;90),"SIM","NAO"))</f>
        <v/>
      </c>
      <c r="Q78" s="3">
        <f>IF(A78="","",IF(P78&lt;&gt;"SIM","Nao acionar",IF(SUMIFS(M:M,A:A,A78,C:C,C78,P:P,"SIM")&lt;=2,"Blip Desk","Blip Portal")))</f>
        <v/>
      </c>
      <c r="R78" s="3">
        <f>IF(A78="","",TEXT(A78,"yyyymmdd")&amp;"|"&amp;C78&amp;"|"&amp;D78&amp;"|"&amp;TEXT(H78,"hhmm")&amp;"|"&amp;TEXT(F78,"yyyymmddhhmmss"))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3">
        <f>IF(A79="","",MAX(0,J79-K79))</f>
        <v/>
      </c>
      <c r="N79" s="4">
        <f>IFERROR(K79/J79,0)</f>
        <v/>
      </c>
      <c r="O79" s="3">
        <f>IF(A79="","",ROUND(((A79+I79)-NOW())*1440,0))</f>
        <v/>
      </c>
      <c r="P79" s="3">
        <f>IF(A79="","",IF(AND(M79&gt;0,O79&gt;90),"SIM","NAO"))</f>
        <v/>
      </c>
      <c r="Q79" s="3">
        <f>IF(A79="","",IF(P79&lt;&gt;"SIM","Nao acionar",IF(SUMIFS(M:M,A:A,A79,C:C,C79,P:P,"SIM")&lt;=2,"Blip Desk","Blip Portal")))</f>
        <v/>
      </c>
      <c r="R79" s="3">
        <f>IF(A79="","",TEXT(A79,"yyyymmdd")&amp;"|"&amp;C79&amp;"|"&amp;D79&amp;"|"&amp;TEXT(H79,"hhmm")&amp;"|"&amp;TEXT(F79,"yyyymmddhhmmss"))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>
        <f>IF(A80="","",MAX(0,J80-K80))</f>
        <v/>
      </c>
      <c r="N80" s="4">
        <f>IFERROR(K80/J80,0)</f>
        <v/>
      </c>
      <c r="O80" s="3">
        <f>IF(A80="","",ROUND(((A80+I80)-NOW())*1440,0))</f>
        <v/>
      </c>
      <c r="P80" s="3">
        <f>IF(A80="","",IF(AND(M80&gt;0,O80&gt;90),"SIM","NAO"))</f>
        <v/>
      </c>
      <c r="Q80" s="3">
        <f>IF(A80="","",IF(P80&lt;&gt;"SIM","Nao acionar",IF(SUMIFS(M:M,A:A,A80,C:C,C80,P:P,"SIM")&lt;=2,"Blip Desk","Blip Portal")))</f>
        <v/>
      </c>
      <c r="R80" s="3">
        <f>IF(A80="","",TEXT(A80,"yyyymmdd")&amp;"|"&amp;C80&amp;"|"&amp;D80&amp;"|"&amp;TEXT(H80,"hhmm")&amp;"|"&amp;TEXT(F80,"yyyymmddhhmmss"))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3">
        <f>IF(A81="","",MAX(0,J81-K81))</f>
        <v/>
      </c>
      <c r="N81" s="4">
        <f>IFERROR(K81/J81,0)</f>
        <v/>
      </c>
      <c r="O81" s="3">
        <f>IF(A81="","",ROUND(((A81+I81)-NOW())*1440,0))</f>
        <v/>
      </c>
      <c r="P81" s="3">
        <f>IF(A81="","",IF(AND(M81&gt;0,O81&gt;90),"SIM","NAO"))</f>
        <v/>
      </c>
      <c r="Q81" s="3">
        <f>IF(A81="","",IF(P81&lt;&gt;"SIM","Nao acionar",IF(SUMIFS(M:M,A:A,A81,C:C,C81,P:P,"SIM")&lt;=2,"Blip Desk","Blip Portal")))</f>
        <v/>
      </c>
      <c r="R81" s="3">
        <f>IF(A81="","",TEXT(A81,"yyyymmdd")&amp;"|"&amp;C81&amp;"|"&amp;D81&amp;"|"&amp;TEXT(H81,"hhmm")&amp;"|"&amp;TEXT(F81,"yyyymmddhhmmss"))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>
        <f>IF(A82="","",MAX(0,J82-K82))</f>
        <v/>
      </c>
      <c r="N82" s="4">
        <f>IFERROR(K82/J82,0)</f>
        <v/>
      </c>
      <c r="O82" s="3">
        <f>IF(A82="","",ROUND(((A82+I82)-NOW())*1440,0))</f>
        <v/>
      </c>
      <c r="P82" s="3">
        <f>IF(A82="","",IF(AND(M82&gt;0,O82&gt;90),"SIM","NAO"))</f>
        <v/>
      </c>
      <c r="Q82" s="3">
        <f>IF(A82="","",IF(P82&lt;&gt;"SIM","Nao acionar",IF(SUMIFS(M:M,A:A,A82,C:C,C82,P:P,"SIM")&lt;=2,"Blip Desk","Blip Portal")))</f>
        <v/>
      </c>
      <c r="R82" s="3">
        <f>IF(A82="","",TEXT(A82,"yyyymmdd")&amp;"|"&amp;C82&amp;"|"&amp;D82&amp;"|"&amp;TEXT(H82,"hhmm")&amp;"|"&amp;TEXT(F82,"yyyymmddhhmmss"))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3">
        <f>IF(A83="","",MAX(0,J83-K83))</f>
        <v/>
      </c>
      <c r="N83" s="4">
        <f>IFERROR(K83/J83,0)</f>
        <v/>
      </c>
      <c r="O83" s="3">
        <f>IF(A83="","",ROUND(((A83+I83)-NOW())*1440,0))</f>
        <v/>
      </c>
      <c r="P83" s="3">
        <f>IF(A83="","",IF(AND(M83&gt;0,O83&gt;90),"SIM","NAO"))</f>
        <v/>
      </c>
      <c r="Q83" s="3">
        <f>IF(A83="","",IF(P83&lt;&gt;"SIM","Nao acionar",IF(SUMIFS(M:M,A:A,A83,C:C,C83,P:P,"SIM")&lt;=2,"Blip Desk","Blip Portal")))</f>
        <v/>
      </c>
      <c r="R83" s="3">
        <f>IF(A83="","",TEXT(A83,"yyyymmdd")&amp;"|"&amp;C83&amp;"|"&amp;D83&amp;"|"&amp;TEXT(H83,"hhmm")&amp;"|"&amp;TEXT(F83,"yyyymmddhhmmss"))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>
        <f>IF(A84="","",MAX(0,J84-K84))</f>
        <v/>
      </c>
      <c r="N84" s="4">
        <f>IFERROR(K84/J84,0)</f>
        <v/>
      </c>
      <c r="O84" s="3">
        <f>IF(A84="","",ROUND(((A84+I84)-NOW())*1440,0))</f>
        <v/>
      </c>
      <c r="P84" s="3">
        <f>IF(A84="","",IF(AND(M84&gt;0,O84&gt;90),"SIM","NAO"))</f>
        <v/>
      </c>
      <c r="Q84" s="3">
        <f>IF(A84="","",IF(P84&lt;&gt;"SIM","Nao acionar",IF(SUMIFS(M:M,A:A,A84,C:C,C84,P:P,"SIM")&lt;=2,"Blip Desk","Blip Portal")))</f>
        <v/>
      </c>
      <c r="R84" s="3">
        <f>IF(A84="","",TEXT(A84,"yyyymmdd")&amp;"|"&amp;C84&amp;"|"&amp;D84&amp;"|"&amp;TEXT(H84,"hhmm")&amp;"|"&amp;TEXT(F84,"yyyymmddhhmmss"))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3">
        <f>IF(A85="","",MAX(0,J85-K85))</f>
        <v/>
      </c>
      <c r="N85" s="4">
        <f>IFERROR(K85/J85,0)</f>
        <v/>
      </c>
      <c r="O85" s="3">
        <f>IF(A85="","",ROUND(((A85+I85)-NOW())*1440,0))</f>
        <v/>
      </c>
      <c r="P85" s="3">
        <f>IF(A85="","",IF(AND(M85&gt;0,O85&gt;90),"SIM","NAO"))</f>
        <v/>
      </c>
      <c r="Q85" s="3">
        <f>IF(A85="","",IF(P85&lt;&gt;"SIM","Nao acionar",IF(SUMIFS(M:M,A:A,A85,C:C,C85,P:P,"SIM")&lt;=2,"Blip Desk","Blip Portal")))</f>
        <v/>
      </c>
      <c r="R85" s="3">
        <f>IF(A85="","",TEXT(A85,"yyyymmdd")&amp;"|"&amp;C85&amp;"|"&amp;D85&amp;"|"&amp;TEXT(H85,"hhmm")&amp;"|"&amp;TEXT(F85,"yyyymmddhhmmss"))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3">
        <f>IF(A86="","",MAX(0,J86-K86))</f>
        <v/>
      </c>
      <c r="N86" s="4">
        <f>IFERROR(K86/J86,0)</f>
        <v/>
      </c>
      <c r="O86" s="3">
        <f>IF(A86="","",ROUND(((A86+I86)-NOW())*1440,0))</f>
        <v/>
      </c>
      <c r="P86" s="3">
        <f>IF(A86="","",IF(AND(M86&gt;0,O86&gt;90),"SIM","NAO"))</f>
        <v/>
      </c>
      <c r="Q86" s="3">
        <f>IF(A86="","",IF(P86&lt;&gt;"SIM","Nao acionar",IF(SUMIFS(M:M,A:A,A86,C:C,C86,P:P,"SIM")&lt;=2,"Blip Desk","Blip Portal")))</f>
        <v/>
      </c>
      <c r="R86" s="3">
        <f>IF(A86="","",TEXT(A86,"yyyymmdd")&amp;"|"&amp;C86&amp;"|"&amp;D86&amp;"|"&amp;TEXT(H86,"hhmm")&amp;"|"&amp;TEXT(F86,"yyyymmddhhmmss"))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3">
        <f>IF(A87="","",MAX(0,J87-K87))</f>
        <v/>
      </c>
      <c r="N87" s="4">
        <f>IFERROR(K87/J87,0)</f>
        <v/>
      </c>
      <c r="O87" s="3">
        <f>IF(A87="","",ROUND(((A87+I87)-NOW())*1440,0))</f>
        <v/>
      </c>
      <c r="P87" s="3">
        <f>IF(A87="","",IF(AND(M87&gt;0,O87&gt;90),"SIM","NAO"))</f>
        <v/>
      </c>
      <c r="Q87" s="3">
        <f>IF(A87="","",IF(P87&lt;&gt;"SIM","Nao acionar",IF(SUMIFS(M:M,A:A,A87,C:C,C87,P:P,"SIM")&lt;=2,"Blip Desk","Blip Portal")))</f>
        <v/>
      </c>
      <c r="R87" s="3">
        <f>IF(A87="","",TEXT(A87,"yyyymmdd")&amp;"|"&amp;C87&amp;"|"&amp;D87&amp;"|"&amp;TEXT(H87,"hhmm")&amp;"|"&amp;TEXT(F87,"yyyymmddhhmmss"))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3">
        <f>IF(A88="","",MAX(0,J88-K88))</f>
        <v/>
      </c>
      <c r="N88" s="4">
        <f>IFERROR(K88/J88,0)</f>
        <v/>
      </c>
      <c r="O88" s="3">
        <f>IF(A88="","",ROUND(((A88+I88)-NOW())*1440,0))</f>
        <v/>
      </c>
      <c r="P88" s="3">
        <f>IF(A88="","",IF(AND(M88&gt;0,O88&gt;90),"SIM","NAO"))</f>
        <v/>
      </c>
      <c r="Q88" s="3">
        <f>IF(A88="","",IF(P88&lt;&gt;"SIM","Nao acionar",IF(SUMIFS(M:M,A:A,A88,C:C,C88,P:P,"SIM")&lt;=2,"Blip Desk","Blip Portal")))</f>
        <v/>
      </c>
      <c r="R88" s="3">
        <f>IF(A88="","",TEXT(A88,"yyyymmdd")&amp;"|"&amp;C88&amp;"|"&amp;D88&amp;"|"&amp;TEXT(H88,"hhmm")&amp;"|"&amp;TEXT(F88,"yyyymmddhhmmss"))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3">
        <f>IF(A89="","",MAX(0,J89-K89))</f>
        <v/>
      </c>
      <c r="N89" s="4">
        <f>IFERROR(K89/J89,0)</f>
        <v/>
      </c>
      <c r="O89" s="3">
        <f>IF(A89="","",ROUND(((A89+I89)-NOW())*1440,0))</f>
        <v/>
      </c>
      <c r="P89" s="3">
        <f>IF(A89="","",IF(AND(M89&gt;0,O89&gt;90),"SIM","NAO"))</f>
        <v/>
      </c>
      <c r="Q89" s="3">
        <f>IF(A89="","",IF(P89&lt;&gt;"SIM","Nao acionar",IF(SUMIFS(M:M,A:A,A89,C:C,C89,P:P,"SIM")&lt;=2,"Blip Desk","Blip Portal")))</f>
        <v/>
      </c>
      <c r="R89" s="3">
        <f>IF(A89="","",TEXT(A89,"yyyymmdd")&amp;"|"&amp;C89&amp;"|"&amp;D89&amp;"|"&amp;TEXT(H89,"hhmm")&amp;"|"&amp;TEXT(F89,"yyyymmddhhmmss"))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3">
        <f>IF(A90="","",MAX(0,J90-K90))</f>
        <v/>
      </c>
      <c r="N90" s="4">
        <f>IFERROR(K90/J90,0)</f>
        <v/>
      </c>
      <c r="O90" s="3">
        <f>IF(A90="","",ROUND(((A90+I90)-NOW())*1440,0))</f>
        <v/>
      </c>
      <c r="P90" s="3">
        <f>IF(A90="","",IF(AND(M90&gt;0,O90&gt;90),"SIM","NAO"))</f>
        <v/>
      </c>
      <c r="Q90" s="3">
        <f>IF(A90="","",IF(P90&lt;&gt;"SIM","Nao acionar",IF(SUMIFS(M:M,A:A,A90,C:C,C90,P:P,"SIM")&lt;=2,"Blip Desk","Blip Portal")))</f>
        <v/>
      </c>
      <c r="R90" s="3">
        <f>IF(A90="","",TEXT(A90,"yyyymmdd")&amp;"|"&amp;C90&amp;"|"&amp;D90&amp;"|"&amp;TEXT(H90,"hhmm")&amp;"|"&amp;TEXT(F90,"yyyymmddhhmmss"))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3">
        <f>IF(A91="","",MAX(0,J91-K91))</f>
        <v/>
      </c>
      <c r="N91" s="4">
        <f>IFERROR(K91/J91,0)</f>
        <v/>
      </c>
      <c r="O91" s="3">
        <f>IF(A91="","",ROUND(((A91+I91)-NOW())*1440,0))</f>
        <v/>
      </c>
      <c r="P91" s="3">
        <f>IF(A91="","",IF(AND(M91&gt;0,O91&gt;90),"SIM","NAO"))</f>
        <v/>
      </c>
      <c r="Q91" s="3">
        <f>IF(A91="","",IF(P91&lt;&gt;"SIM","Nao acionar",IF(SUMIFS(M:M,A:A,A91,C:C,C91,P:P,"SIM")&lt;=2,"Blip Desk","Blip Portal")))</f>
        <v/>
      </c>
      <c r="R91" s="3">
        <f>IF(A91="","",TEXT(A91,"yyyymmdd")&amp;"|"&amp;C91&amp;"|"&amp;D91&amp;"|"&amp;TEXT(H91,"hhmm")&amp;"|"&amp;TEXT(F91,"yyyymmddhhmmss"))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3">
        <f>IF(A92="","",MAX(0,J92-K92))</f>
        <v/>
      </c>
      <c r="N92" s="4">
        <f>IFERROR(K92/J92,0)</f>
        <v/>
      </c>
      <c r="O92" s="3">
        <f>IF(A92="","",ROUND(((A92+I92)-NOW())*1440,0))</f>
        <v/>
      </c>
      <c r="P92" s="3">
        <f>IF(A92="","",IF(AND(M92&gt;0,O92&gt;90),"SIM","NAO"))</f>
        <v/>
      </c>
      <c r="Q92" s="3">
        <f>IF(A92="","",IF(P92&lt;&gt;"SIM","Nao acionar",IF(SUMIFS(M:M,A:A,A92,C:C,C92,P:P,"SIM")&lt;=2,"Blip Desk","Blip Portal")))</f>
        <v/>
      </c>
      <c r="R92" s="3">
        <f>IF(A92="","",TEXT(A92,"yyyymmdd")&amp;"|"&amp;C92&amp;"|"&amp;D92&amp;"|"&amp;TEXT(H92,"hhmm")&amp;"|"&amp;TEXT(F92,"yyyymmddhhmmss"))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3">
        <f>IF(A93="","",MAX(0,J93-K93))</f>
        <v/>
      </c>
      <c r="N93" s="4">
        <f>IFERROR(K93/J93,0)</f>
        <v/>
      </c>
      <c r="O93" s="3">
        <f>IF(A93="","",ROUND(((A93+I93)-NOW())*1440,0))</f>
        <v/>
      </c>
      <c r="P93" s="3">
        <f>IF(A93="","",IF(AND(M93&gt;0,O93&gt;90),"SIM","NAO"))</f>
        <v/>
      </c>
      <c r="Q93" s="3">
        <f>IF(A93="","",IF(P93&lt;&gt;"SIM","Nao acionar",IF(SUMIFS(M:M,A:A,A93,C:C,C93,P:P,"SIM")&lt;=2,"Blip Desk","Blip Portal")))</f>
        <v/>
      </c>
      <c r="R93" s="3">
        <f>IF(A93="","",TEXT(A93,"yyyymmdd")&amp;"|"&amp;C93&amp;"|"&amp;D93&amp;"|"&amp;TEXT(H93,"hhmm")&amp;"|"&amp;TEXT(F93,"yyyymmddhhmmss"))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>
        <f>IF(A94="","",MAX(0,J94-K94))</f>
        <v/>
      </c>
      <c r="N94" s="4">
        <f>IFERROR(K94/J94,0)</f>
        <v/>
      </c>
      <c r="O94" s="3">
        <f>IF(A94="","",ROUND(((A94+I94)-NOW())*1440,0))</f>
        <v/>
      </c>
      <c r="P94" s="3">
        <f>IF(A94="","",IF(AND(M94&gt;0,O94&gt;90),"SIM","NAO"))</f>
        <v/>
      </c>
      <c r="Q94" s="3">
        <f>IF(A94="","",IF(P94&lt;&gt;"SIM","Nao acionar",IF(SUMIFS(M:M,A:A,A94,C:C,C94,P:P,"SIM")&lt;=2,"Blip Desk","Blip Portal")))</f>
        <v/>
      </c>
      <c r="R94" s="3">
        <f>IF(A94="","",TEXT(A94,"yyyymmdd")&amp;"|"&amp;C94&amp;"|"&amp;D94&amp;"|"&amp;TEXT(H94,"hhmm")&amp;"|"&amp;TEXT(F94,"yyyymmddhhmmss"))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3">
        <f>IF(A95="","",MAX(0,J95-K95))</f>
        <v/>
      </c>
      <c r="N95" s="4">
        <f>IFERROR(K95/J95,0)</f>
        <v/>
      </c>
      <c r="O95" s="3">
        <f>IF(A95="","",ROUND(((A95+I95)-NOW())*1440,0))</f>
        <v/>
      </c>
      <c r="P95" s="3">
        <f>IF(A95="","",IF(AND(M95&gt;0,O95&gt;90),"SIM","NAO"))</f>
        <v/>
      </c>
      <c r="Q95" s="3">
        <f>IF(A95="","",IF(P95&lt;&gt;"SIM","Nao acionar",IF(SUMIFS(M:M,A:A,A95,C:C,C95,P:P,"SIM")&lt;=2,"Blip Desk","Blip Portal")))</f>
        <v/>
      </c>
      <c r="R95" s="3">
        <f>IF(A95="","",TEXT(A95,"yyyymmdd")&amp;"|"&amp;C95&amp;"|"&amp;D95&amp;"|"&amp;TEXT(H95,"hhmm")&amp;"|"&amp;TEXT(F95,"yyyymmddhhmmss"))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3">
        <f>IF(A96="","",MAX(0,J96-K96))</f>
        <v/>
      </c>
      <c r="N96" s="4">
        <f>IFERROR(K96/J96,0)</f>
        <v/>
      </c>
      <c r="O96" s="3">
        <f>IF(A96="","",ROUND(((A96+I96)-NOW())*1440,0))</f>
        <v/>
      </c>
      <c r="P96" s="3">
        <f>IF(A96="","",IF(AND(M96&gt;0,O96&gt;90),"SIM","NAO"))</f>
        <v/>
      </c>
      <c r="Q96" s="3">
        <f>IF(A96="","",IF(P96&lt;&gt;"SIM","Nao acionar",IF(SUMIFS(M:M,A:A,A96,C:C,C96,P:P,"SIM")&lt;=2,"Blip Desk","Blip Portal")))</f>
        <v/>
      </c>
      <c r="R96" s="3">
        <f>IF(A96="","",TEXT(A96,"yyyymmdd")&amp;"|"&amp;C96&amp;"|"&amp;D96&amp;"|"&amp;TEXT(H96,"hhmm")&amp;"|"&amp;TEXT(F96,"yyyymmddhhmmss"))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>
        <f>IF(A97="","",MAX(0,J97-K97))</f>
        <v/>
      </c>
      <c r="N97" s="4">
        <f>IFERROR(K97/J97,0)</f>
        <v/>
      </c>
      <c r="O97" s="3">
        <f>IF(A97="","",ROUND(((A97+I97)-NOW())*1440,0))</f>
        <v/>
      </c>
      <c r="P97" s="3">
        <f>IF(A97="","",IF(AND(M97&gt;0,O97&gt;90),"SIM","NAO"))</f>
        <v/>
      </c>
      <c r="Q97" s="3">
        <f>IF(A97="","",IF(P97&lt;&gt;"SIM","Nao acionar",IF(SUMIFS(M:M,A:A,A97,C:C,C97,P:P,"SIM")&lt;=2,"Blip Desk","Blip Portal")))</f>
        <v/>
      </c>
      <c r="R97" s="3">
        <f>IF(A97="","",TEXT(A97,"yyyymmdd")&amp;"|"&amp;C97&amp;"|"&amp;D97&amp;"|"&amp;TEXT(H97,"hhmm")&amp;"|"&amp;TEXT(F97,"yyyymmddhhmmss"))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>
        <f>IF(A98="","",MAX(0,J98-K98))</f>
        <v/>
      </c>
      <c r="N98" s="4">
        <f>IFERROR(K98/J98,0)</f>
        <v/>
      </c>
      <c r="O98" s="3">
        <f>IF(A98="","",ROUND(((A98+I98)-NOW())*1440,0))</f>
        <v/>
      </c>
      <c r="P98" s="3">
        <f>IF(A98="","",IF(AND(M98&gt;0,O98&gt;90),"SIM","NAO"))</f>
        <v/>
      </c>
      <c r="Q98" s="3">
        <f>IF(A98="","",IF(P98&lt;&gt;"SIM","Nao acionar",IF(SUMIFS(M:M,A:A,A98,C:C,C98,P:P,"SIM")&lt;=2,"Blip Desk","Blip Portal")))</f>
        <v/>
      </c>
      <c r="R98" s="3">
        <f>IF(A98="","",TEXT(A98,"yyyymmdd")&amp;"|"&amp;C98&amp;"|"&amp;D98&amp;"|"&amp;TEXT(H98,"hhmm")&amp;"|"&amp;TEXT(F98,"yyyymmddhhmmss"))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3">
        <f>IF(A99="","",MAX(0,J99-K99))</f>
        <v/>
      </c>
      <c r="N99" s="4">
        <f>IFERROR(K99/J99,0)</f>
        <v/>
      </c>
      <c r="O99" s="3">
        <f>IF(A99="","",ROUND(((A99+I99)-NOW())*1440,0))</f>
        <v/>
      </c>
      <c r="P99" s="3">
        <f>IF(A99="","",IF(AND(M99&gt;0,O99&gt;90),"SIM","NAO"))</f>
        <v/>
      </c>
      <c r="Q99" s="3">
        <f>IF(A99="","",IF(P99&lt;&gt;"SIM","Nao acionar",IF(SUMIFS(M:M,A:A,A99,C:C,C99,P:P,"SIM")&lt;=2,"Blip Desk","Blip Portal")))</f>
        <v/>
      </c>
      <c r="R99" s="3">
        <f>IF(A99="","",TEXT(A99,"yyyymmdd")&amp;"|"&amp;C99&amp;"|"&amp;D99&amp;"|"&amp;TEXT(H99,"hhmm")&amp;"|"&amp;TEXT(F99,"yyyymmddhhmmss"))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3">
        <f>IF(A100="","",MAX(0,J100-K100))</f>
        <v/>
      </c>
      <c r="N100" s="4">
        <f>IFERROR(K100/J100,0)</f>
        <v/>
      </c>
      <c r="O100" s="3">
        <f>IF(A100="","",ROUND(((A100+I100)-NOW())*1440,0))</f>
        <v/>
      </c>
      <c r="P100" s="3">
        <f>IF(A100="","",IF(AND(M100&gt;0,O100&gt;90),"SIM","NAO"))</f>
        <v/>
      </c>
      <c r="Q100" s="3">
        <f>IF(A100="","",IF(P100&lt;&gt;"SIM","Nao acionar",IF(SUMIFS(M:M,A:A,A100,C:C,C100,P:P,"SIM")&lt;=2,"Blip Desk","Blip Portal")))</f>
        <v/>
      </c>
      <c r="R100" s="3">
        <f>IF(A100="","",TEXT(A100,"yyyymmdd")&amp;"|"&amp;C100&amp;"|"&amp;D100&amp;"|"&amp;TEXT(H100,"hhmm")&amp;"|"&amp;TEXT(F100,"yyyymmddhhmmss"))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3">
        <f>IF(A101="","",MAX(0,J101-K101))</f>
        <v/>
      </c>
      <c r="N101" s="4">
        <f>IFERROR(K101/J101,0)</f>
        <v/>
      </c>
      <c r="O101" s="3">
        <f>IF(A101="","",ROUND(((A101+I101)-NOW())*1440,0))</f>
        <v/>
      </c>
      <c r="P101" s="3">
        <f>IF(A101="","",IF(AND(M101&gt;0,O101&gt;90),"SIM","NAO"))</f>
        <v/>
      </c>
      <c r="Q101" s="3">
        <f>IF(A101="","",IF(P101&lt;&gt;"SIM","Nao acionar",IF(SUMIFS(M:M,A:A,A101,C:C,C101,P:P,"SIM")&lt;=2,"Blip Desk","Blip Portal")))</f>
        <v/>
      </c>
      <c r="R101" s="3">
        <f>IF(A101="","",TEXT(A101,"yyyymmdd")&amp;"|"&amp;C101&amp;"|"&amp;D101&amp;"|"&amp;TEXT(H101,"hhmm")&amp;"|"&amp;TEXT(F101,"yyyymmddhhmmss"))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>
        <f>IF(A102="","",MAX(0,J102-K102))</f>
        <v/>
      </c>
      <c r="N102" s="4">
        <f>IFERROR(K102/J102,0)</f>
        <v/>
      </c>
      <c r="O102" s="3">
        <f>IF(A102="","",ROUND(((A102+I102)-NOW())*1440,0))</f>
        <v/>
      </c>
      <c r="P102" s="3">
        <f>IF(A102="","",IF(AND(M102&gt;0,O102&gt;90),"SIM","NAO"))</f>
        <v/>
      </c>
      <c r="Q102" s="3">
        <f>IF(A102="","",IF(P102&lt;&gt;"SIM","Nao acionar",IF(SUMIFS(M:M,A:A,A102,C:C,C102,P:P,"SIM")&lt;=2,"Blip Desk","Blip Portal")))</f>
        <v/>
      </c>
      <c r="R102" s="3">
        <f>IF(A102="","",TEXT(A102,"yyyymmdd")&amp;"|"&amp;C102&amp;"|"&amp;D102&amp;"|"&amp;TEXT(H102,"hhmm")&amp;"|"&amp;TEXT(F102,"yyyymmddhhmmss"))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>
        <f>IF(A103="","",MAX(0,J103-K103))</f>
        <v/>
      </c>
      <c r="N103" s="4">
        <f>IFERROR(K103/J103,0)</f>
        <v/>
      </c>
      <c r="O103" s="3">
        <f>IF(A103="","",ROUND(((A103+I103)-NOW())*1440,0))</f>
        <v/>
      </c>
      <c r="P103" s="3">
        <f>IF(A103="","",IF(AND(M103&gt;0,O103&gt;90),"SIM","NAO"))</f>
        <v/>
      </c>
      <c r="Q103" s="3">
        <f>IF(A103="","",IF(P103&lt;&gt;"SIM","Nao acionar",IF(SUMIFS(M:M,A:A,A103,C:C,C103,P:P,"SIM")&lt;=2,"Blip Desk","Blip Portal")))</f>
        <v/>
      </c>
      <c r="R103" s="3">
        <f>IF(A103="","",TEXT(A103,"yyyymmdd")&amp;"|"&amp;C103&amp;"|"&amp;D103&amp;"|"&amp;TEXT(H103,"hhmm")&amp;"|"&amp;TEXT(F103,"yyyymmddhhmmss"))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3">
        <f>IF(A104="","",MAX(0,J104-K104))</f>
        <v/>
      </c>
      <c r="N104" s="4">
        <f>IFERROR(K104/J104,0)</f>
        <v/>
      </c>
      <c r="O104" s="3">
        <f>IF(A104="","",ROUND(((A104+I104)-NOW())*1440,0))</f>
        <v/>
      </c>
      <c r="P104" s="3">
        <f>IF(A104="","",IF(AND(M104&gt;0,O104&gt;90),"SIM","NAO"))</f>
        <v/>
      </c>
      <c r="Q104" s="3">
        <f>IF(A104="","",IF(P104&lt;&gt;"SIM","Nao acionar",IF(SUMIFS(M:M,A:A,A104,C:C,C104,P:P,"SIM")&lt;=2,"Blip Desk","Blip Portal")))</f>
        <v/>
      </c>
      <c r="R104" s="3">
        <f>IF(A104="","",TEXT(A104,"yyyymmdd")&amp;"|"&amp;C104&amp;"|"&amp;D104&amp;"|"&amp;TEXT(H104,"hhmm")&amp;"|"&amp;TEXT(F104,"yyyymmddhhmmss"))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3">
        <f>IF(A105="","",MAX(0,J105-K105))</f>
        <v/>
      </c>
      <c r="N105" s="4">
        <f>IFERROR(K105/J105,0)</f>
        <v/>
      </c>
      <c r="O105" s="3">
        <f>IF(A105="","",ROUND(((A105+I105)-NOW())*1440,0))</f>
        <v/>
      </c>
      <c r="P105" s="3">
        <f>IF(A105="","",IF(AND(M105&gt;0,O105&gt;90),"SIM","NAO"))</f>
        <v/>
      </c>
      <c r="Q105" s="3">
        <f>IF(A105="","",IF(P105&lt;&gt;"SIM","Nao acionar",IF(SUMIFS(M:M,A:A,A105,C:C,C105,P:P,"SIM")&lt;=2,"Blip Desk","Blip Portal")))</f>
        <v/>
      </c>
      <c r="R105" s="3">
        <f>IF(A105="","",TEXT(A105,"yyyymmdd")&amp;"|"&amp;C105&amp;"|"&amp;D105&amp;"|"&amp;TEXT(H105,"hhmm")&amp;"|"&amp;TEXT(F105,"yyyymmddhhmmss"))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3">
        <f>IF(A106="","",MAX(0,J106-K106))</f>
        <v/>
      </c>
      <c r="N106" s="4">
        <f>IFERROR(K106/J106,0)</f>
        <v/>
      </c>
      <c r="O106" s="3">
        <f>IF(A106="","",ROUND(((A106+I106)-NOW())*1440,0))</f>
        <v/>
      </c>
      <c r="P106" s="3">
        <f>IF(A106="","",IF(AND(M106&gt;0,O106&gt;90),"SIM","NAO"))</f>
        <v/>
      </c>
      <c r="Q106" s="3">
        <f>IF(A106="","",IF(P106&lt;&gt;"SIM","Nao acionar",IF(SUMIFS(M:M,A:A,A106,C:C,C106,P:P,"SIM")&lt;=2,"Blip Desk","Blip Portal")))</f>
        <v/>
      </c>
      <c r="R106" s="3">
        <f>IF(A106="","",TEXT(A106,"yyyymmdd")&amp;"|"&amp;C106&amp;"|"&amp;D106&amp;"|"&amp;TEXT(H106,"hhmm")&amp;"|"&amp;TEXT(F106,"yyyymmddhhmmss"))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3">
        <f>IF(A107="","",MAX(0,J107-K107))</f>
        <v/>
      </c>
      <c r="N107" s="4">
        <f>IFERROR(K107/J107,0)</f>
        <v/>
      </c>
      <c r="O107" s="3">
        <f>IF(A107="","",ROUND(((A107+I107)-NOW())*1440,0))</f>
        <v/>
      </c>
      <c r="P107" s="3">
        <f>IF(A107="","",IF(AND(M107&gt;0,O107&gt;90),"SIM","NAO"))</f>
        <v/>
      </c>
      <c r="Q107" s="3">
        <f>IF(A107="","",IF(P107&lt;&gt;"SIM","Nao acionar",IF(SUMIFS(M:M,A:A,A107,C:C,C107,P:P,"SIM")&lt;=2,"Blip Desk","Blip Portal")))</f>
        <v/>
      </c>
      <c r="R107" s="3">
        <f>IF(A107="","",TEXT(A107,"yyyymmdd")&amp;"|"&amp;C107&amp;"|"&amp;D107&amp;"|"&amp;TEXT(H107,"hhmm")&amp;"|"&amp;TEXT(F107,"yyyymmddhhmmss"))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3">
        <f>IF(A108="","",MAX(0,J108-K108))</f>
        <v/>
      </c>
      <c r="N108" s="4">
        <f>IFERROR(K108/J108,0)</f>
        <v/>
      </c>
      <c r="O108" s="3">
        <f>IF(A108="","",ROUND(((A108+I108)-NOW())*1440,0))</f>
        <v/>
      </c>
      <c r="P108" s="3">
        <f>IF(A108="","",IF(AND(M108&gt;0,O108&gt;90),"SIM","NAO"))</f>
        <v/>
      </c>
      <c r="Q108" s="3">
        <f>IF(A108="","",IF(P108&lt;&gt;"SIM","Nao acionar",IF(SUMIFS(M:M,A:A,A108,C:C,C108,P:P,"SIM")&lt;=2,"Blip Desk","Blip Portal")))</f>
        <v/>
      </c>
      <c r="R108" s="3">
        <f>IF(A108="","",TEXT(A108,"yyyymmdd")&amp;"|"&amp;C108&amp;"|"&amp;D108&amp;"|"&amp;TEXT(H108,"hhmm")&amp;"|"&amp;TEXT(F108,"yyyymmddhhmmss"))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3">
        <f>IF(A109="","",MAX(0,J109-K109))</f>
        <v/>
      </c>
      <c r="N109" s="4">
        <f>IFERROR(K109/J109,0)</f>
        <v/>
      </c>
      <c r="O109" s="3">
        <f>IF(A109="","",ROUND(((A109+I109)-NOW())*1440,0))</f>
        <v/>
      </c>
      <c r="P109" s="3">
        <f>IF(A109="","",IF(AND(M109&gt;0,O109&gt;90),"SIM","NAO"))</f>
        <v/>
      </c>
      <c r="Q109" s="3">
        <f>IF(A109="","",IF(P109&lt;&gt;"SIM","Nao acionar",IF(SUMIFS(M:M,A:A,A109,C:C,C109,P:P,"SIM")&lt;=2,"Blip Desk","Blip Portal")))</f>
        <v/>
      </c>
      <c r="R109" s="3">
        <f>IF(A109="","",TEXT(A109,"yyyymmdd")&amp;"|"&amp;C109&amp;"|"&amp;D109&amp;"|"&amp;TEXT(H109,"hhmm")&amp;"|"&amp;TEXT(F109,"yyyymmddhhmmss"))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3">
        <f>IF(A110="","",MAX(0,J110-K110))</f>
        <v/>
      </c>
      <c r="N110" s="4">
        <f>IFERROR(K110/J110,0)</f>
        <v/>
      </c>
      <c r="O110" s="3">
        <f>IF(A110="","",ROUND(((A110+I110)-NOW())*1440,0))</f>
        <v/>
      </c>
      <c r="P110" s="3">
        <f>IF(A110="","",IF(AND(M110&gt;0,O110&gt;90),"SIM","NAO"))</f>
        <v/>
      </c>
      <c r="Q110" s="3">
        <f>IF(A110="","",IF(P110&lt;&gt;"SIM","Nao acionar",IF(SUMIFS(M:M,A:A,A110,C:C,C110,P:P,"SIM")&lt;=2,"Blip Desk","Blip Portal")))</f>
        <v/>
      </c>
      <c r="R110" s="3">
        <f>IF(A110="","",TEXT(A110,"yyyymmdd")&amp;"|"&amp;C110&amp;"|"&amp;D110&amp;"|"&amp;TEXT(H110,"hhmm")&amp;"|"&amp;TEXT(F110,"yyyymmddhhmmss"))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3">
        <f>IF(A111="","",MAX(0,J111-K111))</f>
        <v/>
      </c>
      <c r="N111" s="4">
        <f>IFERROR(K111/J111,0)</f>
        <v/>
      </c>
      <c r="O111" s="3">
        <f>IF(A111="","",ROUND(((A111+I111)-NOW())*1440,0))</f>
        <v/>
      </c>
      <c r="P111" s="3">
        <f>IF(A111="","",IF(AND(M111&gt;0,O111&gt;90),"SIM","NAO"))</f>
        <v/>
      </c>
      <c r="Q111" s="3">
        <f>IF(A111="","",IF(P111&lt;&gt;"SIM","Nao acionar",IF(SUMIFS(M:M,A:A,A111,C:C,C111,P:P,"SIM")&lt;=2,"Blip Desk","Blip Portal")))</f>
        <v/>
      </c>
      <c r="R111" s="3">
        <f>IF(A111="","",TEXT(A111,"yyyymmdd")&amp;"|"&amp;C111&amp;"|"&amp;D111&amp;"|"&amp;TEXT(H111,"hhmm")&amp;"|"&amp;TEXT(F111,"yyyymmddhhmmss"))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3">
        <f>IF(A112="","",MAX(0,J112-K112))</f>
        <v/>
      </c>
      <c r="N112" s="4">
        <f>IFERROR(K112/J112,0)</f>
        <v/>
      </c>
      <c r="O112" s="3">
        <f>IF(A112="","",ROUND(((A112+I112)-NOW())*1440,0))</f>
        <v/>
      </c>
      <c r="P112" s="3">
        <f>IF(A112="","",IF(AND(M112&gt;0,O112&gt;90),"SIM","NAO"))</f>
        <v/>
      </c>
      <c r="Q112" s="3">
        <f>IF(A112="","",IF(P112&lt;&gt;"SIM","Nao acionar",IF(SUMIFS(M:M,A:A,A112,C:C,C112,P:P,"SIM")&lt;=2,"Blip Desk","Blip Portal")))</f>
        <v/>
      </c>
      <c r="R112" s="3">
        <f>IF(A112="","",TEXT(A112,"yyyymmdd")&amp;"|"&amp;C112&amp;"|"&amp;D112&amp;"|"&amp;TEXT(H112,"hhmm")&amp;"|"&amp;TEXT(F112,"yyyymmddhhmmss"))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3">
        <f>IF(A113="","",MAX(0,J113-K113))</f>
        <v/>
      </c>
      <c r="N113" s="4">
        <f>IFERROR(K113/J113,0)</f>
        <v/>
      </c>
      <c r="O113" s="3">
        <f>IF(A113="","",ROUND(((A113+I113)-NOW())*1440,0))</f>
        <v/>
      </c>
      <c r="P113" s="3">
        <f>IF(A113="","",IF(AND(M113&gt;0,O113&gt;90),"SIM","NAO"))</f>
        <v/>
      </c>
      <c r="Q113" s="3">
        <f>IF(A113="","",IF(P113&lt;&gt;"SIM","Nao acionar",IF(SUMIFS(M:M,A:A,A113,C:C,C113,P:P,"SIM")&lt;=2,"Blip Desk","Blip Portal")))</f>
        <v/>
      </c>
      <c r="R113" s="3">
        <f>IF(A113="","",TEXT(A113,"yyyymmdd")&amp;"|"&amp;C113&amp;"|"&amp;D113&amp;"|"&amp;TEXT(H113,"hhmm")&amp;"|"&amp;TEXT(F113,"yyyymmddhhmmss"))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3">
        <f>IF(A114="","",MAX(0,J114-K114))</f>
        <v/>
      </c>
      <c r="N114" s="4">
        <f>IFERROR(K114/J114,0)</f>
        <v/>
      </c>
      <c r="O114" s="3">
        <f>IF(A114="","",ROUND(((A114+I114)-NOW())*1440,0))</f>
        <v/>
      </c>
      <c r="P114" s="3">
        <f>IF(A114="","",IF(AND(M114&gt;0,O114&gt;90),"SIM","NAO"))</f>
        <v/>
      </c>
      <c r="Q114" s="3">
        <f>IF(A114="","",IF(P114&lt;&gt;"SIM","Nao acionar",IF(SUMIFS(M:M,A:A,A114,C:C,C114,P:P,"SIM")&lt;=2,"Blip Desk","Blip Portal")))</f>
        <v/>
      </c>
      <c r="R114" s="3">
        <f>IF(A114="","",TEXT(A114,"yyyymmdd")&amp;"|"&amp;C114&amp;"|"&amp;D114&amp;"|"&amp;TEXT(H114,"hhmm")&amp;"|"&amp;TEXT(F114,"yyyymmddhhmmss"))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3">
        <f>IF(A115="","",MAX(0,J115-K115))</f>
        <v/>
      </c>
      <c r="N115" s="4">
        <f>IFERROR(K115/J115,0)</f>
        <v/>
      </c>
      <c r="O115" s="3">
        <f>IF(A115="","",ROUND(((A115+I115)-NOW())*1440,0))</f>
        <v/>
      </c>
      <c r="P115" s="3">
        <f>IF(A115="","",IF(AND(M115&gt;0,O115&gt;90),"SIM","NAO"))</f>
        <v/>
      </c>
      <c r="Q115" s="3">
        <f>IF(A115="","",IF(P115&lt;&gt;"SIM","Nao acionar",IF(SUMIFS(M:M,A:A,A115,C:C,C115,P:P,"SIM")&lt;=2,"Blip Desk","Blip Portal")))</f>
        <v/>
      </c>
      <c r="R115" s="3">
        <f>IF(A115="","",TEXT(A115,"yyyymmdd")&amp;"|"&amp;C115&amp;"|"&amp;D115&amp;"|"&amp;TEXT(H115,"hhmm")&amp;"|"&amp;TEXT(F115,"yyyymmddhhmmss"))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3">
        <f>IF(A116="","",MAX(0,J116-K116))</f>
        <v/>
      </c>
      <c r="N116" s="4">
        <f>IFERROR(K116/J116,0)</f>
        <v/>
      </c>
      <c r="O116" s="3">
        <f>IF(A116="","",ROUND(((A116+I116)-NOW())*1440,0))</f>
        <v/>
      </c>
      <c r="P116" s="3">
        <f>IF(A116="","",IF(AND(M116&gt;0,O116&gt;90),"SIM","NAO"))</f>
        <v/>
      </c>
      <c r="Q116" s="3">
        <f>IF(A116="","",IF(P116&lt;&gt;"SIM","Nao acionar",IF(SUMIFS(M:M,A:A,A116,C:C,C116,P:P,"SIM")&lt;=2,"Blip Desk","Blip Portal")))</f>
        <v/>
      </c>
      <c r="R116" s="3">
        <f>IF(A116="","",TEXT(A116,"yyyymmdd")&amp;"|"&amp;C116&amp;"|"&amp;D116&amp;"|"&amp;TEXT(H116,"hhmm")&amp;"|"&amp;TEXT(F116,"yyyymmddhhmmss"))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3">
        <f>IF(A117="","",MAX(0,J117-K117))</f>
        <v/>
      </c>
      <c r="N117" s="4">
        <f>IFERROR(K117/J117,0)</f>
        <v/>
      </c>
      <c r="O117" s="3">
        <f>IF(A117="","",ROUND(((A117+I117)-NOW())*1440,0))</f>
        <v/>
      </c>
      <c r="P117" s="3">
        <f>IF(A117="","",IF(AND(M117&gt;0,O117&gt;90),"SIM","NAO"))</f>
        <v/>
      </c>
      <c r="Q117" s="3">
        <f>IF(A117="","",IF(P117&lt;&gt;"SIM","Nao acionar",IF(SUMIFS(M:M,A:A,A117,C:C,C117,P:P,"SIM")&lt;=2,"Blip Desk","Blip Portal")))</f>
        <v/>
      </c>
      <c r="R117" s="3">
        <f>IF(A117="","",TEXT(A117,"yyyymmdd")&amp;"|"&amp;C117&amp;"|"&amp;D117&amp;"|"&amp;TEXT(H117,"hhmm")&amp;"|"&amp;TEXT(F117,"yyyymmddhhmmss"))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3">
        <f>IF(A118="","",MAX(0,J118-K118))</f>
        <v/>
      </c>
      <c r="N118" s="4">
        <f>IFERROR(K118/J118,0)</f>
        <v/>
      </c>
      <c r="O118" s="3">
        <f>IF(A118="","",ROUND(((A118+I118)-NOW())*1440,0))</f>
        <v/>
      </c>
      <c r="P118" s="3">
        <f>IF(A118="","",IF(AND(M118&gt;0,O118&gt;90),"SIM","NAO"))</f>
        <v/>
      </c>
      <c r="Q118" s="3">
        <f>IF(A118="","",IF(P118&lt;&gt;"SIM","Nao acionar",IF(SUMIFS(M:M,A:A,A118,C:C,C118,P:P,"SIM")&lt;=2,"Blip Desk","Blip Portal")))</f>
        <v/>
      </c>
      <c r="R118" s="3">
        <f>IF(A118="","",TEXT(A118,"yyyymmdd")&amp;"|"&amp;C118&amp;"|"&amp;D118&amp;"|"&amp;TEXT(H118,"hhmm")&amp;"|"&amp;TEXT(F118,"yyyymmddhhmmss"))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3">
        <f>IF(A119="","",MAX(0,J119-K119))</f>
        <v/>
      </c>
      <c r="N119" s="4">
        <f>IFERROR(K119/J119,0)</f>
        <v/>
      </c>
      <c r="O119" s="3">
        <f>IF(A119="","",ROUND(((A119+I119)-NOW())*1440,0))</f>
        <v/>
      </c>
      <c r="P119" s="3">
        <f>IF(A119="","",IF(AND(M119&gt;0,O119&gt;90),"SIM","NAO"))</f>
        <v/>
      </c>
      <c r="Q119" s="3">
        <f>IF(A119="","",IF(P119&lt;&gt;"SIM","Nao acionar",IF(SUMIFS(M:M,A:A,A119,C:C,C119,P:P,"SIM")&lt;=2,"Blip Desk","Blip Portal")))</f>
        <v/>
      </c>
      <c r="R119" s="3">
        <f>IF(A119="","",TEXT(A119,"yyyymmdd")&amp;"|"&amp;C119&amp;"|"&amp;D119&amp;"|"&amp;TEXT(H119,"hhmm")&amp;"|"&amp;TEXT(F119,"yyyymmddhhmmss"))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3">
        <f>IF(A120="","",MAX(0,J120-K120))</f>
        <v/>
      </c>
      <c r="N120" s="4">
        <f>IFERROR(K120/J120,0)</f>
        <v/>
      </c>
      <c r="O120" s="3">
        <f>IF(A120="","",ROUND(((A120+I120)-NOW())*1440,0))</f>
        <v/>
      </c>
      <c r="P120" s="3">
        <f>IF(A120="","",IF(AND(M120&gt;0,O120&gt;90),"SIM","NAO"))</f>
        <v/>
      </c>
      <c r="Q120" s="3">
        <f>IF(A120="","",IF(P120&lt;&gt;"SIM","Nao acionar",IF(SUMIFS(M:M,A:A,A120,C:C,C120,P:P,"SIM")&lt;=2,"Blip Desk","Blip Portal")))</f>
        <v/>
      </c>
      <c r="R120" s="3">
        <f>IF(A120="","",TEXT(A120,"yyyymmdd")&amp;"|"&amp;C120&amp;"|"&amp;D120&amp;"|"&amp;TEXT(H120,"hhmm")&amp;"|"&amp;TEXT(F120,"yyyymmddhhmmss"))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3">
        <f>IF(A121="","",MAX(0,J121-K121))</f>
        <v/>
      </c>
      <c r="N121" s="4">
        <f>IFERROR(K121/J121,0)</f>
        <v/>
      </c>
      <c r="O121" s="3">
        <f>IF(A121="","",ROUND(((A121+I121)-NOW())*1440,0))</f>
        <v/>
      </c>
      <c r="P121" s="3">
        <f>IF(A121="","",IF(AND(M121&gt;0,O121&gt;90),"SIM","NAO"))</f>
        <v/>
      </c>
      <c r="Q121" s="3">
        <f>IF(A121="","",IF(P121&lt;&gt;"SIM","Nao acionar",IF(SUMIFS(M:M,A:A,A121,C:C,C121,P:P,"SIM")&lt;=2,"Blip Desk","Blip Portal")))</f>
        <v/>
      </c>
      <c r="R121" s="3">
        <f>IF(A121="","",TEXT(A121,"yyyymmdd")&amp;"|"&amp;C121&amp;"|"&amp;D121&amp;"|"&amp;TEXT(H121,"hhmm")&amp;"|"&amp;TEXT(F121,"yyyymmddhhmmss"))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3">
        <f>IF(A122="","",MAX(0,J122-K122))</f>
        <v/>
      </c>
      <c r="N122" s="4">
        <f>IFERROR(K122/J122,0)</f>
        <v/>
      </c>
      <c r="O122" s="3">
        <f>IF(A122="","",ROUND(((A122+I122)-NOW())*1440,0))</f>
        <v/>
      </c>
      <c r="P122" s="3">
        <f>IF(A122="","",IF(AND(M122&gt;0,O122&gt;90),"SIM","NAO"))</f>
        <v/>
      </c>
      <c r="Q122" s="3">
        <f>IF(A122="","",IF(P122&lt;&gt;"SIM","Nao acionar",IF(SUMIFS(M:M,A:A,A122,C:C,C122,P:P,"SIM")&lt;=2,"Blip Desk","Blip Portal")))</f>
        <v/>
      </c>
      <c r="R122" s="3">
        <f>IF(A122="","",TEXT(A122,"yyyymmdd")&amp;"|"&amp;C122&amp;"|"&amp;D122&amp;"|"&amp;TEXT(H122,"hhmm")&amp;"|"&amp;TEXT(F122,"yyyymmddhhmmss"))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3">
        <f>IF(A123="","",MAX(0,J123-K123))</f>
        <v/>
      </c>
      <c r="N123" s="4">
        <f>IFERROR(K123/J123,0)</f>
        <v/>
      </c>
      <c r="O123" s="3">
        <f>IF(A123="","",ROUND(((A123+I123)-NOW())*1440,0))</f>
        <v/>
      </c>
      <c r="P123" s="3">
        <f>IF(A123="","",IF(AND(M123&gt;0,O123&gt;90),"SIM","NAO"))</f>
        <v/>
      </c>
      <c r="Q123" s="3">
        <f>IF(A123="","",IF(P123&lt;&gt;"SIM","Nao acionar",IF(SUMIFS(M:M,A:A,A123,C:C,C123,P:P,"SIM")&lt;=2,"Blip Desk","Blip Portal")))</f>
        <v/>
      </c>
      <c r="R123" s="3">
        <f>IF(A123="","",TEXT(A123,"yyyymmdd")&amp;"|"&amp;C123&amp;"|"&amp;D123&amp;"|"&amp;TEXT(H123,"hhmm")&amp;"|"&amp;TEXT(F123,"yyyymmddhhmmss"))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3">
        <f>IF(A124="","",MAX(0,J124-K124))</f>
        <v/>
      </c>
      <c r="N124" s="4">
        <f>IFERROR(K124/J124,0)</f>
        <v/>
      </c>
      <c r="O124" s="3">
        <f>IF(A124="","",ROUND(((A124+I124)-NOW())*1440,0))</f>
        <v/>
      </c>
      <c r="P124" s="3">
        <f>IF(A124="","",IF(AND(M124&gt;0,O124&gt;90),"SIM","NAO"))</f>
        <v/>
      </c>
      <c r="Q124" s="3">
        <f>IF(A124="","",IF(P124&lt;&gt;"SIM","Nao acionar",IF(SUMIFS(M:M,A:A,A124,C:C,C124,P:P,"SIM")&lt;=2,"Blip Desk","Blip Portal")))</f>
        <v/>
      </c>
      <c r="R124" s="3">
        <f>IF(A124="","",TEXT(A124,"yyyymmdd")&amp;"|"&amp;C124&amp;"|"&amp;D124&amp;"|"&amp;TEXT(H124,"hhmm")&amp;"|"&amp;TEXT(F124,"yyyymmddhhmmss"))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3">
        <f>IF(A125="","",MAX(0,J125-K125))</f>
        <v/>
      </c>
      <c r="N125" s="4">
        <f>IFERROR(K125/J125,0)</f>
        <v/>
      </c>
      <c r="O125" s="3">
        <f>IF(A125="","",ROUND(((A125+I125)-NOW())*1440,0))</f>
        <v/>
      </c>
      <c r="P125" s="3">
        <f>IF(A125="","",IF(AND(M125&gt;0,O125&gt;90),"SIM","NAO"))</f>
        <v/>
      </c>
      <c r="Q125" s="3">
        <f>IF(A125="","",IF(P125&lt;&gt;"SIM","Nao acionar",IF(SUMIFS(M:M,A:A,A125,C:C,C125,P:P,"SIM")&lt;=2,"Blip Desk","Blip Portal")))</f>
        <v/>
      </c>
      <c r="R125" s="3">
        <f>IF(A125="","",TEXT(A125,"yyyymmdd")&amp;"|"&amp;C125&amp;"|"&amp;D125&amp;"|"&amp;TEXT(H125,"hhmm")&amp;"|"&amp;TEXT(F125,"yyyymmddhhmmss"))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3">
        <f>IF(A126="","",MAX(0,J126-K126))</f>
        <v/>
      </c>
      <c r="N126" s="4">
        <f>IFERROR(K126/J126,0)</f>
        <v/>
      </c>
      <c r="O126" s="3">
        <f>IF(A126="","",ROUND(((A126+I126)-NOW())*1440,0))</f>
        <v/>
      </c>
      <c r="P126" s="3">
        <f>IF(A126="","",IF(AND(M126&gt;0,O126&gt;90),"SIM","NAO"))</f>
        <v/>
      </c>
      <c r="Q126" s="3">
        <f>IF(A126="","",IF(P126&lt;&gt;"SIM","Nao acionar",IF(SUMIFS(M:M,A:A,A126,C:C,C126,P:P,"SIM")&lt;=2,"Blip Desk","Blip Portal")))</f>
        <v/>
      </c>
      <c r="R126" s="3">
        <f>IF(A126="","",TEXT(A126,"yyyymmdd")&amp;"|"&amp;C126&amp;"|"&amp;D126&amp;"|"&amp;TEXT(H126,"hhmm")&amp;"|"&amp;TEXT(F126,"yyyymmddhhmmss"))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3">
        <f>IF(A127="","",MAX(0,J127-K127))</f>
        <v/>
      </c>
      <c r="N127" s="4">
        <f>IFERROR(K127/J127,0)</f>
        <v/>
      </c>
      <c r="O127" s="3">
        <f>IF(A127="","",ROUND(((A127+I127)-NOW())*1440,0))</f>
        <v/>
      </c>
      <c r="P127" s="3">
        <f>IF(A127="","",IF(AND(M127&gt;0,O127&gt;90),"SIM","NAO"))</f>
        <v/>
      </c>
      <c r="Q127" s="3">
        <f>IF(A127="","",IF(P127&lt;&gt;"SIM","Nao acionar",IF(SUMIFS(M:M,A:A,A127,C:C,C127,P:P,"SIM")&lt;=2,"Blip Desk","Blip Portal")))</f>
        <v/>
      </c>
      <c r="R127" s="3">
        <f>IF(A127="","",TEXT(A127,"yyyymmdd")&amp;"|"&amp;C127&amp;"|"&amp;D127&amp;"|"&amp;TEXT(H127,"hhmm")&amp;"|"&amp;TEXT(F127,"yyyymmddhhmmss"))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3">
        <f>IF(A128="","",MAX(0,J128-K128))</f>
        <v/>
      </c>
      <c r="N128" s="4">
        <f>IFERROR(K128/J128,0)</f>
        <v/>
      </c>
      <c r="O128" s="3">
        <f>IF(A128="","",ROUND(((A128+I128)-NOW())*1440,0))</f>
        <v/>
      </c>
      <c r="P128" s="3">
        <f>IF(A128="","",IF(AND(M128&gt;0,O128&gt;90),"SIM","NAO"))</f>
        <v/>
      </c>
      <c r="Q128" s="3">
        <f>IF(A128="","",IF(P128&lt;&gt;"SIM","Nao acionar",IF(SUMIFS(M:M,A:A,A128,C:C,C128,P:P,"SIM")&lt;=2,"Blip Desk","Blip Portal")))</f>
        <v/>
      </c>
      <c r="R128" s="3">
        <f>IF(A128="","",TEXT(A128,"yyyymmdd")&amp;"|"&amp;C128&amp;"|"&amp;D128&amp;"|"&amp;TEXT(H128,"hhmm")&amp;"|"&amp;TEXT(F128,"yyyymmddhhmmss"))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3">
        <f>IF(A129="","",MAX(0,J129-K129))</f>
        <v/>
      </c>
      <c r="N129" s="4">
        <f>IFERROR(K129/J129,0)</f>
        <v/>
      </c>
      <c r="O129" s="3">
        <f>IF(A129="","",ROUND(((A129+I129)-NOW())*1440,0))</f>
        <v/>
      </c>
      <c r="P129" s="3">
        <f>IF(A129="","",IF(AND(M129&gt;0,O129&gt;90),"SIM","NAO"))</f>
        <v/>
      </c>
      <c r="Q129" s="3">
        <f>IF(A129="","",IF(P129&lt;&gt;"SIM","Nao acionar",IF(SUMIFS(M:M,A:A,A129,C:C,C129,P:P,"SIM")&lt;=2,"Blip Desk","Blip Portal")))</f>
        <v/>
      </c>
      <c r="R129" s="3">
        <f>IF(A129="","",TEXT(A129,"yyyymmdd")&amp;"|"&amp;C129&amp;"|"&amp;D129&amp;"|"&amp;TEXT(H129,"hhmm")&amp;"|"&amp;TEXT(F129,"yyyymmddhhmmss"))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3">
        <f>IF(A130="","",MAX(0,J130-K130))</f>
        <v/>
      </c>
      <c r="N130" s="4">
        <f>IFERROR(K130/J130,0)</f>
        <v/>
      </c>
      <c r="O130" s="3">
        <f>IF(A130="","",ROUND(((A130+I130)-NOW())*1440,0))</f>
        <v/>
      </c>
      <c r="P130" s="3">
        <f>IF(A130="","",IF(AND(M130&gt;0,O130&gt;90),"SIM","NAO"))</f>
        <v/>
      </c>
      <c r="Q130" s="3">
        <f>IF(A130="","",IF(P130&lt;&gt;"SIM","Nao acionar",IF(SUMIFS(M:M,A:A,A130,C:C,C130,P:P,"SIM")&lt;=2,"Blip Desk","Blip Portal")))</f>
        <v/>
      </c>
      <c r="R130" s="3">
        <f>IF(A130="","",TEXT(A130,"yyyymmdd")&amp;"|"&amp;C130&amp;"|"&amp;D130&amp;"|"&amp;TEXT(H130,"hhmm")&amp;"|"&amp;TEXT(F130,"yyyymmddhhmmss"))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3">
        <f>IF(A131="","",MAX(0,J131-K131))</f>
        <v/>
      </c>
      <c r="N131" s="4">
        <f>IFERROR(K131/J131,0)</f>
        <v/>
      </c>
      <c r="O131" s="3">
        <f>IF(A131="","",ROUND(((A131+I131)-NOW())*1440,0))</f>
        <v/>
      </c>
      <c r="P131" s="3">
        <f>IF(A131="","",IF(AND(M131&gt;0,O131&gt;90),"SIM","NAO"))</f>
        <v/>
      </c>
      <c r="Q131" s="3">
        <f>IF(A131="","",IF(P131&lt;&gt;"SIM","Nao acionar",IF(SUMIFS(M:M,A:A,A131,C:C,C131,P:P,"SIM")&lt;=2,"Blip Desk","Blip Portal")))</f>
        <v/>
      </c>
      <c r="R131" s="3">
        <f>IF(A131="","",TEXT(A131,"yyyymmdd")&amp;"|"&amp;C131&amp;"|"&amp;D131&amp;"|"&amp;TEXT(H131,"hhmm")&amp;"|"&amp;TEXT(F131,"yyyymmddhhmmss"))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3">
        <f>IF(A132="","",MAX(0,J132-K132))</f>
        <v/>
      </c>
      <c r="N132" s="4">
        <f>IFERROR(K132/J132,0)</f>
        <v/>
      </c>
      <c r="O132" s="3">
        <f>IF(A132="","",ROUND(((A132+I132)-NOW())*1440,0))</f>
        <v/>
      </c>
      <c r="P132" s="3">
        <f>IF(A132="","",IF(AND(M132&gt;0,O132&gt;90),"SIM","NAO"))</f>
        <v/>
      </c>
      <c r="Q132" s="3">
        <f>IF(A132="","",IF(P132&lt;&gt;"SIM","Nao acionar",IF(SUMIFS(M:M,A:A,A132,C:C,C132,P:P,"SIM")&lt;=2,"Blip Desk","Blip Portal")))</f>
        <v/>
      </c>
      <c r="R132" s="3">
        <f>IF(A132="","",TEXT(A132,"yyyymmdd")&amp;"|"&amp;C132&amp;"|"&amp;D132&amp;"|"&amp;TEXT(H132,"hhmm")&amp;"|"&amp;TEXT(F132,"yyyymmddhhmmss"))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3">
        <f>IF(A133="","",MAX(0,J133-K133))</f>
        <v/>
      </c>
      <c r="N133" s="4">
        <f>IFERROR(K133/J133,0)</f>
        <v/>
      </c>
      <c r="O133" s="3">
        <f>IF(A133="","",ROUND(((A133+I133)-NOW())*1440,0))</f>
        <v/>
      </c>
      <c r="P133" s="3">
        <f>IF(A133="","",IF(AND(M133&gt;0,O133&gt;90),"SIM","NAO"))</f>
        <v/>
      </c>
      <c r="Q133" s="3">
        <f>IF(A133="","",IF(P133&lt;&gt;"SIM","Nao acionar",IF(SUMIFS(M:M,A:A,A133,C:C,C133,P:P,"SIM")&lt;=2,"Blip Desk","Blip Portal")))</f>
        <v/>
      </c>
      <c r="R133" s="3">
        <f>IF(A133="","",TEXT(A133,"yyyymmdd")&amp;"|"&amp;C133&amp;"|"&amp;D133&amp;"|"&amp;TEXT(H133,"hhmm")&amp;"|"&amp;TEXT(F133,"yyyymmddhhmmss"))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3">
        <f>IF(A134="","",MAX(0,J134-K134))</f>
        <v/>
      </c>
      <c r="N134" s="4">
        <f>IFERROR(K134/J134,0)</f>
        <v/>
      </c>
      <c r="O134" s="3">
        <f>IF(A134="","",ROUND(((A134+I134)-NOW())*1440,0))</f>
        <v/>
      </c>
      <c r="P134" s="3">
        <f>IF(A134="","",IF(AND(M134&gt;0,O134&gt;90),"SIM","NAO"))</f>
        <v/>
      </c>
      <c r="Q134" s="3">
        <f>IF(A134="","",IF(P134&lt;&gt;"SIM","Nao acionar",IF(SUMIFS(M:M,A:A,A134,C:C,C134,P:P,"SIM")&lt;=2,"Blip Desk","Blip Portal")))</f>
        <v/>
      </c>
      <c r="R134" s="3">
        <f>IF(A134="","",TEXT(A134,"yyyymmdd")&amp;"|"&amp;C134&amp;"|"&amp;D134&amp;"|"&amp;TEXT(H134,"hhmm")&amp;"|"&amp;TEXT(F134,"yyyymmddhhmmss"))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3">
        <f>IF(A135="","",MAX(0,J135-K135))</f>
        <v/>
      </c>
      <c r="N135" s="4">
        <f>IFERROR(K135/J135,0)</f>
        <v/>
      </c>
      <c r="O135" s="3">
        <f>IF(A135="","",ROUND(((A135+I135)-NOW())*1440,0))</f>
        <v/>
      </c>
      <c r="P135" s="3">
        <f>IF(A135="","",IF(AND(M135&gt;0,O135&gt;90),"SIM","NAO"))</f>
        <v/>
      </c>
      <c r="Q135" s="3">
        <f>IF(A135="","",IF(P135&lt;&gt;"SIM","Nao acionar",IF(SUMIFS(M:M,A:A,A135,C:C,C135,P:P,"SIM")&lt;=2,"Blip Desk","Blip Portal")))</f>
        <v/>
      </c>
      <c r="R135" s="3">
        <f>IF(A135="","",TEXT(A135,"yyyymmdd")&amp;"|"&amp;C135&amp;"|"&amp;D135&amp;"|"&amp;TEXT(H135,"hhmm")&amp;"|"&amp;TEXT(F135,"yyyymmddhhmmss"))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3">
        <f>IF(A136="","",MAX(0,J136-K136))</f>
        <v/>
      </c>
      <c r="N136" s="4">
        <f>IFERROR(K136/J136,0)</f>
        <v/>
      </c>
      <c r="O136" s="3">
        <f>IF(A136="","",ROUND(((A136+I136)-NOW())*1440,0))</f>
        <v/>
      </c>
      <c r="P136" s="3">
        <f>IF(A136="","",IF(AND(M136&gt;0,O136&gt;90),"SIM","NAO"))</f>
        <v/>
      </c>
      <c r="Q136" s="3">
        <f>IF(A136="","",IF(P136&lt;&gt;"SIM","Nao acionar",IF(SUMIFS(M:M,A:A,A136,C:C,C136,P:P,"SIM")&lt;=2,"Blip Desk","Blip Portal")))</f>
        <v/>
      </c>
      <c r="R136" s="3">
        <f>IF(A136="","",TEXT(A136,"yyyymmdd")&amp;"|"&amp;C136&amp;"|"&amp;D136&amp;"|"&amp;TEXT(H136,"hhmm")&amp;"|"&amp;TEXT(F136,"yyyymmddhhmmss"))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3">
        <f>IF(A137="","",MAX(0,J137-K137))</f>
        <v/>
      </c>
      <c r="N137" s="4">
        <f>IFERROR(K137/J137,0)</f>
        <v/>
      </c>
      <c r="O137" s="3">
        <f>IF(A137="","",ROUND(((A137+I137)-NOW())*1440,0))</f>
        <v/>
      </c>
      <c r="P137" s="3">
        <f>IF(A137="","",IF(AND(M137&gt;0,O137&gt;90),"SIM","NAO"))</f>
        <v/>
      </c>
      <c r="Q137" s="3">
        <f>IF(A137="","",IF(P137&lt;&gt;"SIM","Nao acionar",IF(SUMIFS(M:M,A:A,A137,C:C,C137,P:P,"SIM")&lt;=2,"Blip Desk","Blip Portal")))</f>
        <v/>
      </c>
      <c r="R137" s="3">
        <f>IF(A137="","",TEXT(A137,"yyyymmdd")&amp;"|"&amp;C137&amp;"|"&amp;D137&amp;"|"&amp;TEXT(H137,"hhmm")&amp;"|"&amp;TEXT(F137,"yyyymmddhhmmss"))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3">
        <f>IF(A138="","",MAX(0,J138-K138))</f>
        <v/>
      </c>
      <c r="N138" s="4">
        <f>IFERROR(K138/J138,0)</f>
        <v/>
      </c>
      <c r="O138" s="3">
        <f>IF(A138="","",ROUND(((A138+I138)-NOW())*1440,0))</f>
        <v/>
      </c>
      <c r="P138" s="3">
        <f>IF(A138="","",IF(AND(M138&gt;0,O138&gt;90),"SIM","NAO"))</f>
        <v/>
      </c>
      <c r="Q138" s="3">
        <f>IF(A138="","",IF(P138&lt;&gt;"SIM","Nao acionar",IF(SUMIFS(M:M,A:A,A138,C:C,C138,P:P,"SIM")&lt;=2,"Blip Desk","Blip Portal")))</f>
        <v/>
      </c>
      <c r="R138" s="3">
        <f>IF(A138="","",TEXT(A138,"yyyymmdd")&amp;"|"&amp;C138&amp;"|"&amp;D138&amp;"|"&amp;TEXT(H138,"hhmm")&amp;"|"&amp;TEXT(F138,"yyyymmddhhmmss"))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3">
        <f>IF(A139="","",MAX(0,J139-K139))</f>
        <v/>
      </c>
      <c r="N139" s="4">
        <f>IFERROR(K139/J139,0)</f>
        <v/>
      </c>
      <c r="O139" s="3">
        <f>IF(A139="","",ROUND(((A139+I139)-NOW())*1440,0))</f>
        <v/>
      </c>
      <c r="P139" s="3">
        <f>IF(A139="","",IF(AND(M139&gt;0,O139&gt;90),"SIM","NAO"))</f>
        <v/>
      </c>
      <c r="Q139" s="3">
        <f>IF(A139="","",IF(P139&lt;&gt;"SIM","Nao acionar",IF(SUMIFS(M:M,A:A,A139,C:C,C139,P:P,"SIM")&lt;=2,"Blip Desk","Blip Portal")))</f>
        <v/>
      </c>
      <c r="R139" s="3">
        <f>IF(A139="","",TEXT(A139,"yyyymmdd")&amp;"|"&amp;C139&amp;"|"&amp;D139&amp;"|"&amp;TEXT(H139,"hhmm")&amp;"|"&amp;TEXT(F139,"yyyymmddhhmmss"))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3">
        <f>IF(A140="","",MAX(0,J140-K140))</f>
        <v/>
      </c>
      <c r="N140" s="4">
        <f>IFERROR(K140/J140,0)</f>
        <v/>
      </c>
      <c r="O140" s="3">
        <f>IF(A140="","",ROUND(((A140+I140)-NOW())*1440,0))</f>
        <v/>
      </c>
      <c r="P140" s="3">
        <f>IF(A140="","",IF(AND(M140&gt;0,O140&gt;90),"SIM","NAO"))</f>
        <v/>
      </c>
      <c r="Q140" s="3">
        <f>IF(A140="","",IF(P140&lt;&gt;"SIM","Nao acionar",IF(SUMIFS(M:M,A:A,A140,C:C,C140,P:P,"SIM")&lt;=2,"Blip Desk","Blip Portal")))</f>
        <v/>
      </c>
      <c r="R140" s="3">
        <f>IF(A140="","",TEXT(A140,"yyyymmdd")&amp;"|"&amp;C140&amp;"|"&amp;D140&amp;"|"&amp;TEXT(H140,"hhmm")&amp;"|"&amp;TEXT(F140,"yyyymmddhhmmss"))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3">
        <f>IF(A141="","",MAX(0,J141-K141))</f>
        <v/>
      </c>
      <c r="N141" s="4">
        <f>IFERROR(K141/J141,0)</f>
        <v/>
      </c>
      <c r="O141" s="3">
        <f>IF(A141="","",ROUND(((A141+I141)-NOW())*1440,0))</f>
        <v/>
      </c>
      <c r="P141" s="3">
        <f>IF(A141="","",IF(AND(M141&gt;0,O141&gt;90),"SIM","NAO"))</f>
        <v/>
      </c>
      <c r="Q141" s="3">
        <f>IF(A141="","",IF(P141&lt;&gt;"SIM","Nao acionar",IF(SUMIFS(M:M,A:A,A141,C:C,C141,P:P,"SIM")&lt;=2,"Blip Desk","Blip Portal")))</f>
        <v/>
      </c>
      <c r="R141" s="3">
        <f>IF(A141="","",TEXT(A141,"yyyymmdd")&amp;"|"&amp;C141&amp;"|"&amp;D141&amp;"|"&amp;TEXT(H141,"hhmm")&amp;"|"&amp;TEXT(F141,"yyyymmddhhmmss"))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3">
        <f>IF(A142="","",MAX(0,J142-K142))</f>
        <v/>
      </c>
      <c r="N142" s="4">
        <f>IFERROR(K142/J142,0)</f>
        <v/>
      </c>
      <c r="O142" s="3">
        <f>IF(A142="","",ROUND(((A142+I142)-NOW())*1440,0))</f>
        <v/>
      </c>
      <c r="P142" s="3">
        <f>IF(A142="","",IF(AND(M142&gt;0,O142&gt;90),"SIM","NAO"))</f>
        <v/>
      </c>
      <c r="Q142" s="3">
        <f>IF(A142="","",IF(P142&lt;&gt;"SIM","Nao acionar",IF(SUMIFS(M:M,A:A,A142,C:C,C142,P:P,"SIM")&lt;=2,"Blip Desk","Blip Portal")))</f>
        <v/>
      </c>
      <c r="R142" s="3">
        <f>IF(A142="","",TEXT(A142,"yyyymmdd")&amp;"|"&amp;C142&amp;"|"&amp;D142&amp;"|"&amp;TEXT(H142,"hhmm")&amp;"|"&amp;TEXT(F142,"yyyymmddhhmmss"))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3">
        <f>IF(A143="","",MAX(0,J143-K143))</f>
        <v/>
      </c>
      <c r="N143" s="4">
        <f>IFERROR(K143/J143,0)</f>
        <v/>
      </c>
      <c r="O143" s="3">
        <f>IF(A143="","",ROUND(((A143+I143)-NOW())*1440,0))</f>
        <v/>
      </c>
      <c r="P143" s="3">
        <f>IF(A143="","",IF(AND(M143&gt;0,O143&gt;90),"SIM","NAO"))</f>
        <v/>
      </c>
      <c r="Q143" s="3">
        <f>IF(A143="","",IF(P143&lt;&gt;"SIM","Nao acionar",IF(SUMIFS(M:M,A:A,A143,C:C,C143,P:P,"SIM")&lt;=2,"Blip Desk","Blip Portal")))</f>
        <v/>
      </c>
      <c r="R143" s="3">
        <f>IF(A143="","",TEXT(A143,"yyyymmdd")&amp;"|"&amp;C143&amp;"|"&amp;D143&amp;"|"&amp;TEXT(H143,"hhmm")&amp;"|"&amp;TEXT(F143,"yyyymmddhhmmss"))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3">
        <f>IF(A144="","",MAX(0,J144-K144))</f>
        <v/>
      </c>
      <c r="N144" s="4">
        <f>IFERROR(K144/J144,0)</f>
        <v/>
      </c>
      <c r="O144" s="3">
        <f>IF(A144="","",ROUND(((A144+I144)-NOW())*1440,0))</f>
        <v/>
      </c>
      <c r="P144" s="3">
        <f>IF(A144="","",IF(AND(M144&gt;0,O144&gt;90),"SIM","NAO"))</f>
        <v/>
      </c>
      <c r="Q144" s="3">
        <f>IF(A144="","",IF(P144&lt;&gt;"SIM","Nao acionar",IF(SUMIFS(M:M,A:A,A144,C:C,C144,P:P,"SIM")&lt;=2,"Blip Desk","Blip Portal")))</f>
        <v/>
      </c>
      <c r="R144" s="3">
        <f>IF(A144="","",TEXT(A144,"yyyymmdd")&amp;"|"&amp;C144&amp;"|"&amp;D144&amp;"|"&amp;TEXT(H144,"hhmm")&amp;"|"&amp;TEXT(F144,"yyyymmddhhmmss"))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3">
        <f>IF(A145="","",MAX(0,J145-K145))</f>
        <v/>
      </c>
      <c r="N145" s="4">
        <f>IFERROR(K145/J145,0)</f>
        <v/>
      </c>
      <c r="O145" s="3">
        <f>IF(A145="","",ROUND(((A145+I145)-NOW())*1440,0))</f>
        <v/>
      </c>
      <c r="P145" s="3">
        <f>IF(A145="","",IF(AND(M145&gt;0,O145&gt;90),"SIM","NAO"))</f>
        <v/>
      </c>
      <c r="Q145" s="3">
        <f>IF(A145="","",IF(P145&lt;&gt;"SIM","Nao acionar",IF(SUMIFS(M:M,A:A,A145,C:C,C145,P:P,"SIM")&lt;=2,"Blip Desk","Blip Portal")))</f>
        <v/>
      </c>
      <c r="R145" s="3">
        <f>IF(A145="","",TEXT(A145,"yyyymmdd")&amp;"|"&amp;C145&amp;"|"&amp;D145&amp;"|"&amp;TEXT(H145,"hhmm")&amp;"|"&amp;TEXT(F145,"yyyymmddhhmmss"))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3">
        <f>IF(A146="","",MAX(0,J146-K146))</f>
        <v/>
      </c>
      <c r="N146" s="4">
        <f>IFERROR(K146/J146,0)</f>
        <v/>
      </c>
      <c r="O146" s="3">
        <f>IF(A146="","",ROUND(((A146+I146)-NOW())*1440,0))</f>
        <v/>
      </c>
      <c r="P146" s="3">
        <f>IF(A146="","",IF(AND(M146&gt;0,O146&gt;90),"SIM","NAO"))</f>
        <v/>
      </c>
      <c r="Q146" s="3">
        <f>IF(A146="","",IF(P146&lt;&gt;"SIM","Nao acionar",IF(SUMIFS(M:M,A:A,A146,C:C,C146,P:P,"SIM")&lt;=2,"Blip Desk","Blip Portal")))</f>
        <v/>
      </c>
      <c r="R146" s="3">
        <f>IF(A146="","",TEXT(A146,"yyyymmdd")&amp;"|"&amp;C146&amp;"|"&amp;D146&amp;"|"&amp;TEXT(H146,"hhmm")&amp;"|"&amp;TEXT(F146,"yyyymmddhhmmss"))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3">
        <f>IF(A147="","",MAX(0,J147-K147))</f>
        <v/>
      </c>
      <c r="N147" s="4">
        <f>IFERROR(K147/J147,0)</f>
        <v/>
      </c>
      <c r="O147" s="3">
        <f>IF(A147="","",ROUND(((A147+I147)-NOW())*1440,0))</f>
        <v/>
      </c>
      <c r="P147" s="3">
        <f>IF(A147="","",IF(AND(M147&gt;0,O147&gt;90),"SIM","NAO"))</f>
        <v/>
      </c>
      <c r="Q147" s="3">
        <f>IF(A147="","",IF(P147&lt;&gt;"SIM","Nao acionar",IF(SUMIFS(M:M,A:A,A147,C:C,C147,P:P,"SIM")&lt;=2,"Blip Desk","Blip Portal")))</f>
        <v/>
      </c>
      <c r="R147" s="3">
        <f>IF(A147="","",TEXT(A147,"yyyymmdd")&amp;"|"&amp;C147&amp;"|"&amp;D147&amp;"|"&amp;TEXT(H147,"hhmm")&amp;"|"&amp;TEXT(F147,"yyyymmddhhmmss"))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3">
        <f>IF(A148="","",MAX(0,J148-K148))</f>
        <v/>
      </c>
      <c r="N148" s="4">
        <f>IFERROR(K148/J148,0)</f>
        <v/>
      </c>
      <c r="O148" s="3">
        <f>IF(A148="","",ROUND(((A148+I148)-NOW())*1440,0))</f>
        <v/>
      </c>
      <c r="P148" s="3">
        <f>IF(A148="","",IF(AND(M148&gt;0,O148&gt;90),"SIM","NAO"))</f>
        <v/>
      </c>
      <c r="Q148" s="3">
        <f>IF(A148="","",IF(P148&lt;&gt;"SIM","Nao acionar",IF(SUMIFS(M:M,A:A,A148,C:C,C148,P:P,"SIM")&lt;=2,"Blip Desk","Blip Portal")))</f>
        <v/>
      </c>
      <c r="R148" s="3">
        <f>IF(A148="","",TEXT(A148,"yyyymmdd")&amp;"|"&amp;C148&amp;"|"&amp;D148&amp;"|"&amp;TEXT(H148,"hhmm")&amp;"|"&amp;TEXT(F148,"yyyymmddhhmmss"))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3">
        <f>IF(A149="","",MAX(0,J149-K149))</f>
        <v/>
      </c>
      <c r="N149" s="4">
        <f>IFERROR(K149/J149,0)</f>
        <v/>
      </c>
      <c r="O149" s="3">
        <f>IF(A149="","",ROUND(((A149+I149)-NOW())*1440,0))</f>
        <v/>
      </c>
      <c r="P149" s="3">
        <f>IF(A149="","",IF(AND(M149&gt;0,O149&gt;90),"SIM","NAO"))</f>
        <v/>
      </c>
      <c r="Q149" s="3">
        <f>IF(A149="","",IF(P149&lt;&gt;"SIM","Nao acionar",IF(SUMIFS(M:M,A:A,A149,C:C,C149,P:P,"SIM")&lt;=2,"Blip Desk","Blip Portal")))</f>
        <v/>
      </c>
      <c r="R149" s="3">
        <f>IF(A149="","",TEXT(A149,"yyyymmdd")&amp;"|"&amp;C149&amp;"|"&amp;D149&amp;"|"&amp;TEXT(H149,"hhmm")&amp;"|"&amp;TEXT(F149,"yyyymmddhhmmss"))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3">
        <f>IF(A150="","",MAX(0,J150-K150))</f>
        <v/>
      </c>
      <c r="N150" s="4">
        <f>IFERROR(K150/J150,0)</f>
        <v/>
      </c>
      <c r="O150" s="3">
        <f>IF(A150="","",ROUND(((A150+I150)-NOW())*1440,0))</f>
        <v/>
      </c>
      <c r="P150" s="3">
        <f>IF(A150="","",IF(AND(M150&gt;0,O150&gt;90),"SIM","NAO"))</f>
        <v/>
      </c>
      <c r="Q150" s="3">
        <f>IF(A150="","",IF(P150&lt;&gt;"SIM","Nao acionar",IF(SUMIFS(M:M,A:A,A150,C:C,C150,P:P,"SIM")&lt;=2,"Blip Desk","Blip Portal")))</f>
        <v/>
      </c>
      <c r="R150" s="3">
        <f>IF(A150="","",TEXT(A150,"yyyymmdd")&amp;"|"&amp;C150&amp;"|"&amp;D150&amp;"|"&amp;TEXT(H150,"hhmm")&amp;"|"&amp;TEXT(F150,"yyyymmddhhmmss"))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3">
        <f>IF(A151="","",MAX(0,J151-K151))</f>
        <v/>
      </c>
      <c r="N151" s="4">
        <f>IFERROR(K151/J151,0)</f>
        <v/>
      </c>
      <c r="O151" s="3">
        <f>IF(A151="","",ROUND(((A151+I151)-NOW())*1440,0))</f>
        <v/>
      </c>
      <c r="P151" s="3">
        <f>IF(A151="","",IF(AND(M151&gt;0,O151&gt;90),"SIM","NAO"))</f>
        <v/>
      </c>
      <c r="Q151" s="3">
        <f>IF(A151="","",IF(P151&lt;&gt;"SIM","Nao acionar",IF(SUMIFS(M:M,A:A,A151,C:C,C151,P:P,"SIM")&lt;=2,"Blip Desk","Blip Portal")))</f>
        <v/>
      </c>
      <c r="R151" s="3">
        <f>IF(A151="","",TEXT(A151,"yyyymmdd")&amp;"|"&amp;C151&amp;"|"&amp;D151&amp;"|"&amp;TEXT(H151,"hhmm")&amp;"|"&amp;TEXT(F151,"yyyymmddhhmmss"))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3">
        <f>IF(A152="","",MAX(0,J152-K152))</f>
        <v/>
      </c>
      <c r="N152" s="4">
        <f>IFERROR(K152/J152,0)</f>
        <v/>
      </c>
      <c r="O152" s="3">
        <f>IF(A152="","",ROUND(((A152+I152)-NOW())*1440,0))</f>
        <v/>
      </c>
      <c r="P152" s="3">
        <f>IF(A152="","",IF(AND(M152&gt;0,O152&gt;90),"SIM","NAO"))</f>
        <v/>
      </c>
      <c r="Q152" s="3">
        <f>IF(A152="","",IF(P152&lt;&gt;"SIM","Nao acionar",IF(SUMIFS(M:M,A:A,A152,C:C,C152,P:P,"SIM")&lt;=2,"Blip Desk","Blip Portal")))</f>
        <v/>
      </c>
      <c r="R152" s="3">
        <f>IF(A152="","",TEXT(A152,"yyyymmdd")&amp;"|"&amp;C152&amp;"|"&amp;D152&amp;"|"&amp;TEXT(H152,"hhmm")&amp;"|"&amp;TEXT(F152,"yyyymmddhhmmss"))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3">
        <f>IF(A153="","",MAX(0,J153-K153))</f>
        <v/>
      </c>
      <c r="N153" s="4">
        <f>IFERROR(K153/J153,0)</f>
        <v/>
      </c>
      <c r="O153" s="3">
        <f>IF(A153="","",ROUND(((A153+I153)-NOW())*1440,0))</f>
        <v/>
      </c>
      <c r="P153" s="3">
        <f>IF(A153="","",IF(AND(M153&gt;0,O153&gt;90),"SIM","NAO"))</f>
        <v/>
      </c>
      <c r="Q153" s="3">
        <f>IF(A153="","",IF(P153&lt;&gt;"SIM","Nao acionar",IF(SUMIFS(M:M,A:A,A153,C:C,C153,P:P,"SIM")&lt;=2,"Blip Desk","Blip Portal")))</f>
        <v/>
      </c>
      <c r="R153" s="3">
        <f>IF(A153="","",TEXT(A153,"yyyymmdd")&amp;"|"&amp;C153&amp;"|"&amp;D153&amp;"|"&amp;TEXT(H153,"hhmm")&amp;"|"&amp;TEXT(F153,"yyyymmddhhmmss"))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3">
        <f>IF(A154="","",MAX(0,J154-K154))</f>
        <v/>
      </c>
      <c r="N154" s="4">
        <f>IFERROR(K154/J154,0)</f>
        <v/>
      </c>
      <c r="O154" s="3">
        <f>IF(A154="","",ROUND(((A154+I154)-NOW())*1440,0))</f>
        <v/>
      </c>
      <c r="P154" s="3">
        <f>IF(A154="","",IF(AND(M154&gt;0,O154&gt;90),"SIM","NAO"))</f>
        <v/>
      </c>
      <c r="Q154" s="3">
        <f>IF(A154="","",IF(P154&lt;&gt;"SIM","Nao acionar",IF(SUMIFS(M:M,A:A,A154,C:C,C154,P:P,"SIM")&lt;=2,"Blip Desk","Blip Portal")))</f>
        <v/>
      </c>
      <c r="R154" s="3">
        <f>IF(A154="","",TEXT(A154,"yyyymmdd")&amp;"|"&amp;C154&amp;"|"&amp;D154&amp;"|"&amp;TEXT(H154,"hhmm")&amp;"|"&amp;TEXT(F154,"yyyymmddhhmmss"))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3">
        <f>IF(A155="","",MAX(0,J155-K155))</f>
        <v/>
      </c>
      <c r="N155" s="4">
        <f>IFERROR(K155/J155,0)</f>
        <v/>
      </c>
      <c r="O155" s="3">
        <f>IF(A155="","",ROUND(((A155+I155)-NOW())*1440,0))</f>
        <v/>
      </c>
      <c r="P155" s="3">
        <f>IF(A155="","",IF(AND(M155&gt;0,O155&gt;90),"SIM","NAO"))</f>
        <v/>
      </c>
      <c r="Q155" s="3">
        <f>IF(A155="","",IF(P155&lt;&gt;"SIM","Nao acionar",IF(SUMIFS(M:M,A:A,A155,C:C,C155,P:P,"SIM")&lt;=2,"Blip Desk","Blip Portal")))</f>
        <v/>
      </c>
      <c r="R155" s="3">
        <f>IF(A155="","",TEXT(A155,"yyyymmdd")&amp;"|"&amp;C155&amp;"|"&amp;D155&amp;"|"&amp;TEXT(H155,"hhmm")&amp;"|"&amp;TEXT(F155,"yyyymmddhhmmss"))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3">
        <f>IF(A156="","",MAX(0,J156-K156))</f>
        <v/>
      </c>
      <c r="N156" s="4">
        <f>IFERROR(K156/J156,0)</f>
        <v/>
      </c>
      <c r="O156" s="3">
        <f>IF(A156="","",ROUND(((A156+I156)-NOW())*1440,0))</f>
        <v/>
      </c>
      <c r="P156" s="3">
        <f>IF(A156="","",IF(AND(M156&gt;0,O156&gt;90),"SIM","NAO"))</f>
        <v/>
      </c>
      <c r="Q156" s="3">
        <f>IF(A156="","",IF(P156&lt;&gt;"SIM","Nao acionar",IF(SUMIFS(M:M,A:A,A156,C:C,C156,P:P,"SIM")&lt;=2,"Blip Desk","Blip Portal")))</f>
        <v/>
      </c>
      <c r="R156" s="3">
        <f>IF(A156="","",TEXT(A156,"yyyymmdd")&amp;"|"&amp;C156&amp;"|"&amp;D156&amp;"|"&amp;TEXT(H156,"hhmm")&amp;"|"&amp;TEXT(F156,"yyyymmddhhmmss"))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3">
        <f>IF(A157="","",MAX(0,J157-K157))</f>
        <v/>
      </c>
      <c r="N157" s="4">
        <f>IFERROR(K157/J157,0)</f>
        <v/>
      </c>
      <c r="O157" s="3">
        <f>IF(A157="","",ROUND(((A157+I157)-NOW())*1440,0))</f>
        <v/>
      </c>
      <c r="P157" s="3">
        <f>IF(A157="","",IF(AND(M157&gt;0,O157&gt;90),"SIM","NAO"))</f>
        <v/>
      </c>
      <c r="Q157" s="3">
        <f>IF(A157="","",IF(P157&lt;&gt;"SIM","Nao acionar",IF(SUMIFS(M:M,A:A,A157,C:C,C157,P:P,"SIM")&lt;=2,"Blip Desk","Blip Portal")))</f>
        <v/>
      </c>
      <c r="R157" s="3">
        <f>IF(A157="","",TEXT(A157,"yyyymmdd")&amp;"|"&amp;C157&amp;"|"&amp;D157&amp;"|"&amp;TEXT(H157,"hhmm")&amp;"|"&amp;TEXT(F157,"yyyymmddhhmmss"))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3">
        <f>IF(A158="","",MAX(0,J158-K158))</f>
        <v/>
      </c>
      <c r="N158" s="4">
        <f>IFERROR(K158/J158,0)</f>
        <v/>
      </c>
      <c r="O158" s="3">
        <f>IF(A158="","",ROUND(((A158+I158)-NOW())*1440,0))</f>
        <v/>
      </c>
      <c r="P158" s="3">
        <f>IF(A158="","",IF(AND(M158&gt;0,O158&gt;90),"SIM","NAO"))</f>
        <v/>
      </c>
      <c r="Q158" s="3">
        <f>IF(A158="","",IF(P158&lt;&gt;"SIM","Nao acionar",IF(SUMIFS(M:M,A:A,A158,C:C,C158,P:P,"SIM")&lt;=2,"Blip Desk","Blip Portal")))</f>
        <v/>
      </c>
      <c r="R158" s="3">
        <f>IF(A158="","",TEXT(A158,"yyyymmdd")&amp;"|"&amp;C158&amp;"|"&amp;D158&amp;"|"&amp;TEXT(H158,"hhmm")&amp;"|"&amp;TEXT(F158,"yyyymmddhhmmss"))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3">
        <f>IF(A159="","",MAX(0,J159-K159))</f>
        <v/>
      </c>
      <c r="N159" s="4">
        <f>IFERROR(K159/J159,0)</f>
        <v/>
      </c>
      <c r="O159" s="3">
        <f>IF(A159="","",ROUND(((A159+I159)-NOW())*1440,0))</f>
        <v/>
      </c>
      <c r="P159" s="3">
        <f>IF(A159="","",IF(AND(M159&gt;0,O159&gt;90),"SIM","NAO"))</f>
        <v/>
      </c>
      <c r="Q159" s="3">
        <f>IF(A159="","",IF(P159&lt;&gt;"SIM","Nao acionar",IF(SUMIFS(M:M,A:A,A159,C:C,C159,P:P,"SIM")&lt;=2,"Blip Desk","Blip Portal")))</f>
        <v/>
      </c>
      <c r="R159" s="3">
        <f>IF(A159="","",TEXT(A159,"yyyymmdd")&amp;"|"&amp;C159&amp;"|"&amp;D159&amp;"|"&amp;TEXT(H159,"hhmm")&amp;"|"&amp;TEXT(F159,"yyyymmddhhmmss"))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3">
        <f>IF(A160="","",MAX(0,J160-K160))</f>
        <v/>
      </c>
      <c r="N160" s="4">
        <f>IFERROR(K160/J160,0)</f>
        <v/>
      </c>
      <c r="O160" s="3">
        <f>IF(A160="","",ROUND(((A160+I160)-NOW())*1440,0))</f>
        <v/>
      </c>
      <c r="P160" s="3">
        <f>IF(A160="","",IF(AND(M160&gt;0,O160&gt;90),"SIM","NAO"))</f>
        <v/>
      </c>
      <c r="Q160" s="3">
        <f>IF(A160="","",IF(P160&lt;&gt;"SIM","Nao acionar",IF(SUMIFS(M:M,A:A,A160,C:C,C160,P:P,"SIM")&lt;=2,"Blip Desk","Blip Portal")))</f>
        <v/>
      </c>
      <c r="R160" s="3">
        <f>IF(A160="","",TEXT(A160,"yyyymmdd")&amp;"|"&amp;C160&amp;"|"&amp;D160&amp;"|"&amp;TEXT(H160,"hhmm")&amp;"|"&amp;TEXT(F160,"yyyymmddhhmmss"))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3">
        <f>IF(A161="","",MAX(0,J161-K161))</f>
        <v/>
      </c>
      <c r="N161" s="4">
        <f>IFERROR(K161/J161,0)</f>
        <v/>
      </c>
      <c r="O161" s="3">
        <f>IF(A161="","",ROUND(((A161+I161)-NOW())*1440,0))</f>
        <v/>
      </c>
      <c r="P161" s="3">
        <f>IF(A161="","",IF(AND(M161&gt;0,O161&gt;90),"SIM","NAO"))</f>
        <v/>
      </c>
      <c r="Q161" s="3">
        <f>IF(A161="","",IF(P161&lt;&gt;"SIM","Nao acionar",IF(SUMIFS(M:M,A:A,A161,C:C,C161,P:P,"SIM")&lt;=2,"Blip Desk","Blip Portal")))</f>
        <v/>
      </c>
      <c r="R161" s="3">
        <f>IF(A161="","",TEXT(A161,"yyyymmdd")&amp;"|"&amp;C161&amp;"|"&amp;D161&amp;"|"&amp;TEXT(H161,"hhmm")&amp;"|"&amp;TEXT(F161,"yyyymmddhhmmss"))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3">
        <f>IF(A162="","",MAX(0,J162-K162))</f>
        <v/>
      </c>
      <c r="N162" s="4">
        <f>IFERROR(K162/J162,0)</f>
        <v/>
      </c>
      <c r="O162" s="3">
        <f>IF(A162="","",ROUND(((A162+I162)-NOW())*1440,0))</f>
        <v/>
      </c>
      <c r="P162" s="3">
        <f>IF(A162="","",IF(AND(M162&gt;0,O162&gt;90),"SIM","NAO"))</f>
        <v/>
      </c>
      <c r="Q162" s="3">
        <f>IF(A162="","",IF(P162&lt;&gt;"SIM","Nao acionar",IF(SUMIFS(M:M,A:A,A162,C:C,C162,P:P,"SIM")&lt;=2,"Blip Desk","Blip Portal")))</f>
        <v/>
      </c>
      <c r="R162" s="3">
        <f>IF(A162="","",TEXT(A162,"yyyymmdd")&amp;"|"&amp;C162&amp;"|"&amp;D162&amp;"|"&amp;TEXT(H162,"hhmm")&amp;"|"&amp;TEXT(F162,"yyyymmddhhmmss"))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3">
        <f>IF(A163="","",MAX(0,J163-K163))</f>
        <v/>
      </c>
      <c r="N163" s="4">
        <f>IFERROR(K163/J163,0)</f>
        <v/>
      </c>
      <c r="O163" s="3">
        <f>IF(A163="","",ROUND(((A163+I163)-NOW())*1440,0))</f>
        <v/>
      </c>
      <c r="P163" s="3">
        <f>IF(A163="","",IF(AND(M163&gt;0,O163&gt;90),"SIM","NAO"))</f>
        <v/>
      </c>
      <c r="Q163" s="3">
        <f>IF(A163="","",IF(P163&lt;&gt;"SIM","Nao acionar",IF(SUMIFS(M:M,A:A,A163,C:C,C163,P:P,"SIM")&lt;=2,"Blip Desk","Blip Portal")))</f>
        <v/>
      </c>
      <c r="R163" s="3">
        <f>IF(A163="","",TEXT(A163,"yyyymmdd")&amp;"|"&amp;C163&amp;"|"&amp;D163&amp;"|"&amp;TEXT(H163,"hhmm")&amp;"|"&amp;TEXT(F163,"yyyymmddhhmmss"))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3">
        <f>IF(A164="","",MAX(0,J164-K164))</f>
        <v/>
      </c>
      <c r="N164" s="4">
        <f>IFERROR(K164/J164,0)</f>
        <v/>
      </c>
      <c r="O164" s="3">
        <f>IF(A164="","",ROUND(((A164+I164)-NOW())*1440,0))</f>
        <v/>
      </c>
      <c r="P164" s="3">
        <f>IF(A164="","",IF(AND(M164&gt;0,O164&gt;90),"SIM","NAO"))</f>
        <v/>
      </c>
      <c r="Q164" s="3">
        <f>IF(A164="","",IF(P164&lt;&gt;"SIM","Nao acionar",IF(SUMIFS(M:M,A:A,A164,C:C,C164,P:P,"SIM")&lt;=2,"Blip Desk","Blip Portal")))</f>
        <v/>
      </c>
      <c r="R164" s="3">
        <f>IF(A164="","",TEXT(A164,"yyyymmdd")&amp;"|"&amp;C164&amp;"|"&amp;D164&amp;"|"&amp;TEXT(H164,"hhmm")&amp;"|"&amp;TEXT(F164,"yyyymmddhhmmss"))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3">
        <f>IF(A165="","",MAX(0,J165-K165))</f>
        <v/>
      </c>
      <c r="N165" s="4">
        <f>IFERROR(K165/J165,0)</f>
        <v/>
      </c>
      <c r="O165" s="3">
        <f>IF(A165="","",ROUND(((A165+I165)-NOW())*1440,0))</f>
        <v/>
      </c>
      <c r="P165" s="3">
        <f>IF(A165="","",IF(AND(M165&gt;0,O165&gt;90),"SIM","NAO"))</f>
        <v/>
      </c>
      <c r="Q165" s="3">
        <f>IF(A165="","",IF(P165&lt;&gt;"SIM","Nao acionar",IF(SUMIFS(M:M,A:A,A165,C:C,C165,P:P,"SIM")&lt;=2,"Blip Desk","Blip Portal")))</f>
        <v/>
      </c>
      <c r="R165" s="3">
        <f>IF(A165="","",TEXT(A165,"yyyymmdd")&amp;"|"&amp;C165&amp;"|"&amp;D165&amp;"|"&amp;TEXT(H165,"hhmm")&amp;"|"&amp;TEXT(F165,"yyyymmddhhmmss"))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3">
        <f>IF(A166="","",MAX(0,J166-K166))</f>
        <v/>
      </c>
      <c r="N166" s="4">
        <f>IFERROR(K166/J166,0)</f>
        <v/>
      </c>
      <c r="O166" s="3">
        <f>IF(A166="","",ROUND(((A166+I166)-NOW())*1440,0))</f>
        <v/>
      </c>
      <c r="P166" s="3">
        <f>IF(A166="","",IF(AND(M166&gt;0,O166&gt;90),"SIM","NAO"))</f>
        <v/>
      </c>
      <c r="Q166" s="3">
        <f>IF(A166="","",IF(P166&lt;&gt;"SIM","Nao acionar",IF(SUMIFS(M:M,A:A,A166,C:C,C166,P:P,"SIM")&lt;=2,"Blip Desk","Blip Portal")))</f>
        <v/>
      </c>
      <c r="R166" s="3">
        <f>IF(A166="","",TEXT(A166,"yyyymmdd")&amp;"|"&amp;C166&amp;"|"&amp;D166&amp;"|"&amp;TEXT(H166,"hhmm")&amp;"|"&amp;TEXT(F166,"yyyymmddhhmmss"))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3">
        <f>IF(A167="","",MAX(0,J167-K167))</f>
        <v/>
      </c>
      <c r="N167" s="4">
        <f>IFERROR(K167/J167,0)</f>
        <v/>
      </c>
      <c r="O167" s="3">
        <f>IF(A167="","",ROUND(((A167+I167)-NOW())*1440,0))</f>
        <v/>
      </c>
      <c r="P167" s="3">
        <f>IF(A167="","",IF(AND(M167&gt;0,O167&gt;90),"SIM","NAO"))</f>
        <v/>
      </c>
      <c r="Q167" s="3">
        <f>IF(A167="","",IF(P167&lt;&gt;"SIM","Nao acionar",IF(SUMIFS(M:M,A:A,A167,C:C,C167,P:P,"SIM")&lt;=2,"Blip Desk","Blip Portal")))</f>
        <v/>
      </c>
      <c r="R167" s="3">
        <f>IF(A167="","",TEXT(A167,"yyyymmdd")&amp;"|"&amp;C167&amp;"|"&amp;D167&amp;"|"&amp;TEXT(H167,"hhmm")&amp;"|"&amp;TEXT(F167,"yyyymmddhhmmss"))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3">
        <f>IF(A168="","",MAX(0,J168-K168))</f>
        <v/>
      </c>
      <c r="N168" s="4">
        <f>IFERROR(K168/J168,0)</f>
        <v/>
      </c>
      <c r="O168" s="3">
        <f>IF(A168="","",ROUND(((A168+I168)-NOW())*1440,0))</f>
        <v/>
      </c>
      <c r="P168" s="3">
        <f>IF(A168="","",IF(AND(M168&gt;0,O168&gt;90),"SIM","NAO"))</f>
        <v/>
      </c>
      <c r="Q168" s="3">
        <f>IF(A168="","",IF(P168&lt;&gt;"SIM","Nao acionar",IF(SUMIFS(M:M,A:A,A168,C:C,C168,P:P,"SIM")&lt;=2,"Blip Desk","Blip Portal")))</f>
        <v/>
      </c>
      <c r="R168" s="3">
        <f>IF(A168="","",TEXT(A168,"yyyymmdd")&amp;"|"&amp;C168&amp;"|"&amp;D168&amp;"|"&amp;TEXT(H168,"hhmm")&amp;"|"&amp;TEXT(F168,"yyyymmddhhmmss"))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3">
        <f>IF(A169="","",MAX(0,J169-K169))</f>
        <v/>
      </c>
      <c r="N169" s="4">
        <f>IFERROR(K169/J169,0)</f>
        <v/>
      </c>
      <c r="O169" s="3">
        <f>IF(A169="","",ROUND(((A169+I169)-NOW())*1440,0))</f>
        <v/>
      </c>
      <c r="P169" s="3">
        <f>IF(A169="","",IF(AND(M169&gt;0,O169&gt;90),"SIM","NAO"))</f>
        <v/>
      </c>
      <c r="Q169" s="3">
        <f>IF(A169="","",IF(P169&lt;&gt;"SIM","Nao acionar",IF(SUMIFS(M:M,A:A,A169,C:C,C169,P:P,"SIM")&lt;=2,"Blip Desk","Blip Portal")))</f>
        <v/>
      </c>
      <c r="R169" s="3">
        <f>IF(A169="","",TEXT(A169,"yyyymmdd")&amp;"|"&amp;C169&amp;"|"&amp;D169&amp;"|"&amp;TEXT(H169,"hhmm")&amp;"|"&amp;TEXT(F169,"yyyymmddhhmmss"))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3">
        <f>IF(A170="","",MAX(0,J170-K170))</f>
        <v/>
      </c>
      <c r="N170" s="4">
        <f>IFERROR(K170/J170,0)</f>
        <v/>
      </c>
      <c r="O170" s="3">
        <f>IF(A170="","",ROUND(((A170+I170)-NOW())*1440,0))</f>
        <v/>
      </c>
      <c r="P170" s="3">
        <f>IF(A170="","",IF(AND(M170&gt;0,O170&gt;90),"SIM","NAO"))</f>
        <v/>
      </c>
      <c r="Q170" s="3">
        <f>IF(A170="","",IF(P170&lt;&gt;"SIM","Nao acionar",IF(SUMIFS(M:M,A:A,A170,C:C,C170,P:P,"SIM")&lt;=2,"Blip Desk","Blip Portal")))</f>
        <v/>
      </c>
      <c r="R170" s="3">
        <f>IF(A170="","",TEXT(A170,"yyyymmdd")&amp;"|"&amp;C170&amp;"|"&amp;D170&amp;"|"&amp;TEXT(H170,"hhmm")&amp;"|"&amp;TEXT(F170,"yyyymmddhhmmss"))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3">
        <f>IF(A171="","",MAX(0,J171-K171))</f>
        <v/>
      </c>
      <c r="N171" s="4">
        <f>IFERROR(K171/J171,0)</f>
        <v/>
      </c>
      <c r="O171" s="3">
        <f>IF(A171="","",ROUND(((A171+I171)-NOW())*1440,0))</f>
        <v/>
      </c>
      <c r="P171" s="3">
        <f>IF(A171="","",IF(AND(M171&gt;0,O171&gt;90),"SIM","NAO"))</f>
        <v/>
      </c>
      <c r="Q171" s="3">
        <f>IF(A171="","",IF(P171&lt;&gt;"SIM","Nao acionar",IF(SUMIFS(M:M,A:A,A171,C:C,C171,P:P,"SIM")&lt;=2,"Blip Desk","Blip Portal")))</f>
        <v/>
      </c>
      <c r="R171" s="3">
        <f>IF(A171="","",TEXT(A171,"yyyymmdd")&amp;"|"&amp;C171&amp;"|"&amp;D171&amp;"|"&amp;TEXT(H171,"hhmm")&amp;"|"&amp;TEXT(F171,"yyyymmddhhmmss"))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3">
        <f>IF(A172="","",MAX(0,J172-K172))</f>
        <v/>
      </c>
      <c r="N172" s="4">
        <f>IFERROR(K172/J172,0)</f>
        <v/>
      </c>
      <c r="O172" s="3">
        <f>IF(A172="","",ROUND(((A172+I172)-NOW())*1440,0))</f>
        <v/>
      </c>
      <c r="P172" s="3">
        <f>IF(A172="","",IF(AND(M172&gt;0,O172&gt;90),"SIM","NAO"))</f>
        <v/>
      </c>
      <c r="Q172" s="3">
        <f>IF(A172="","",IF(P172&lt;&gt;"SIM","Nao acionar",IF(SUMIFS(M:M,A:A,A172,C:C,C172,P:P,"SIM")&lt;=2,"Blip Desk","Blip Portal")))</f>
        <v/>
      </c>
      <c r="R172" s="3">
        <f>IF(A172="","",TEXT(A172,"yyyymmdd")&amp;"|"&amp;C172&amp;"|"&amp;D172&amp;"|"&amp;TEXT(H172,"hhmm")&amp;"|"&amp;TEXT(F172,"yyyymmddhhmmss"))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3">
        <f>IF(A173="","",MAX(0,J173-K173))</f>
        <v/>
      </c>
      <c r="N173" s="4">
        <f>IFERROR(K173/J173,0)</f>
        <v/>
      </c>
      <c r="O173" s="3">
        <f>IF(A173="","",ROUND(((A173+I173)-NOW())*1440,0))</f>
        <v/>
      </c>
      <c r="P173" s="3">
        <f>IF(A173="","",IF(AND(M173&gt;0,O173&gt;90),"SIM","NAO"))</f>
        <v/>
      </c>
      <c r="Q173" s="3">
        <f>IF(A173="","",IF(P173&lt;&gt;"SIM","Nao acionar",IF(SUMIFS(M:M,A:A,A173,C:C,C173,P:P,"SIM")&lt;=2,"Blip Desk","Blip Portal")))</f>
        <v/>
      </c>
      <c r="R173" s="3">
        <f>IF(A173="","",TEXT(A173,"yyyymmdd")&amp;"|"&amp;C173&amp;"|"&amp;D173&amp;"|"&amp;TEXT(H173,"hhmm")&amp;"|"&amp;TEXT(F173,"yyyymmddhhmmss"))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3">
        <f>IF(A174="","",MAX(0,J174-K174))</f>
        <v/>
      </c>
      <c r="N174" s="4">
        <f>IFERROR(K174/J174,0)</f>
        <v/>
      </c>
      <c r="O174" s="3">
        <f>IF(A174="","",ROUND(((A174+I174)-NOW())*1440,0))</f>
        <v/>
      </c>
      <c r="P174" s="3">
        <f>IF(A174="","",IF(AND(M174&gt;0,O174&gt;90),"SIM","NAO"))</f>
        <v/>
      </c>
      <c r="Q174" s="3">
        <f>IF(A174="","",IF(P174&lt;&gt;"SIM","Nao acionar",IF(SUMIFS(M:M,A:A,A174,C:C,C174,P:P,"SIM")&lt;=2,"Blip Desk","Blip Portal")))</f>
        <v/>
      </c>
      <c r="R174" s="3">
        <f>IF(A174="","",TEXT(A174,"yyyymmdd")&amp;"|"&amp;C174&amp;"|"&amp;D174&amp;"|"&amp;TEXT(H174,"hhmm")&amp;"|"&amp;TEXT(F174,"yyyymmddhhmmss"))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3">
        <f>IF(A175="","",MAX(0,J175-K175))</f>
        <v/>
      </c>
      <c r="N175" s="4">
        <f>IFERROR(K175/J175,0)</f>
        <v/>
      </c>
      <c r="O175" s="3">
        <f>IF(A175="","",ROUND(((A175+I175)-NOW())*1440,0))</f>
        <v/>
      </c>
      <c r="P175" s="3">
        <f>IF(A175="","",IF(AND(M175&gt;0,O175&gt;90),"SIM","NAO"))</f>
        <v/>
      </c>
      <c r="Q175" s="3">
        <f>IF(A175="","",IF(P175&lt;&gt;"SIM","Nao acionar",IF(SUMIFS(M:M,A:A,A175,C:C,C175,P:P,"SIM")&lt;=2,"Blip Desk","Blip Portal")))</f>
        <v/>
      </c>
      <c r="R175" s="3">
        <f>IF(A175="","",TEXT(A175,"yyyymmdd")&amp;"|"&amp;C175&amp;"|"&amp;D175&amp;"|"&amp;TEXT(H175,"hhmm")&amp;"|"&amp;TEXT(F175,"yyyymmddhhmmss"))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3">
        <f>IF(A176="","",MAX(0,J176-K176))</f>
        <v/>
      </c>
      <c r="N176" s="4">
        <f>IFERROR(K176/J176,0)</f>
        <v/>
      </c>
      <c r="O176" s="3">
        <f>IF(A176="","",ROUND(((A176+I176)-NOW())*1440,0))</f>
        <v/>
      </c>
      <c r="P176" s="3">
        <f>IF(A176="","",IF(AND(M176&gt;0,O176&gt;90),"SIM","NAO"))</f>
        <v/>
      </c>
      <c r="Q176" s="3">
        <f>IF(A176="","",IF(P176&lt;&gt;"SIM","Nao acionar",IF(SUMIFS(M:M,A:A,A176,C:C,C176,P:P,"SIM")&lt;=2,"Blip Desk","Blip Portal")))</f>
        <v/>
      </c>
      <c r="R176" s="3">
        <f>IF(A176="","",TEXT(A176,"yyyymmdd")&amp;"|"&amp;C176&amp;"|"&amp;D176&amp;"|"&amp;TEXT(H176,"hhmm")&amp;"|"&amp;TEXT(F176,"yyyymmddhhmmss"))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3">
        <f>IF(A177="","",MAX(0,J177-K177))</f>
        <v/>
      </c>
      <c r="N177" s="4">
        <f>IFERROR(K177/J177,0)</f>
        <v/>
      </c>
      <c r="O177" s="3">
        <f>IF(A177="","",ROUND(((A177+I177)-NOW())*1440,0))</f>
        <v/>
      </c>
      <c r="P177" s="3">
        <f>IF(A177="","",IF(AND(M177&gt;0,O177&gt;90),"SIM","NAO"))</f>
        <v/>
      </c>
      <c r="Q177" s="3">
        <f>IF(A177="","",IF(P177&lt;&gt;"SIM","Nao acionar",IF(SUMIFS(M:M,A:A,A177,C:C,C177,P:P,"SIM")&lt;=2,"Blip Desk","Blip Portal")))</f>
        <v/>
      </c>
      <c r="R177" s="3">
        <f>IF(A177="","",TEXT(A177,"yyyymmdd")&amp;"|"&amp;C177&amp;"|"&amp;D177&amp;"|"&amp;TEXT(H177,"hhmm")&amp;"|"&amp;TEXT(F177,"yyyymmddhhmmss"))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3">
        <f>IF(A178="","",MAX(0,J178-K178))</f>
        <v/>
      </c>
      <c r="N178" s="4">
        <f>IFERROR(K178/J178,0)</f>
        <v/>
      </c>
      <c r="O178" s="3">
        <f>IF(A178="","",ROUND(((A178+I178)-NOW())*1440,0))</f>
        <v/>
      </c>
      <c r="P178" s="3">
        <f>IF(A178="","",IF(AND(M178&gt;0,O178&gt;90),"SIM","NAO"))</f>
        <v/>
      </c>
      <c r="Q178" s="3">
        <f>IF(A178="","",IF(P178&lt;&gt;"SIM","Nao acionar",IF(SUMIFS(M:M,A:A,A178,C:C,C178,P:P,"SIM")&lt;=2,"Blip Desk","Blip Portal")))</f>
        <v/>
      </c>
      <c r="R178" s="3">
        <f>IF(A178="","",TEXT(A178,"yyyymmdd")&amp;"|"&amp;C178&amp;"|"&amp;D178&amp;"|"&amp;TEXT(H178,"hhmm")&amp;"|"&amp;TEXT(F178,"yyyymmddhhmmss"))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3">
        <f>IF(A179="","",MAX(0,J179-K179))</f>
        <v/>
      </c>
      <c r="N179" s="4">
        <f>IFERROR(K179/J179,0)</f>
        <v/>
      </c>
      <c r="O179" s="3">
        <f>IF(A179="","",ROUND(((A179+I179)-NOW())*1440,0))</f>
        <v/>
      </c>
      <c r="P179" s="3">
        <f>IF(A179="","",IF(AND(M179&gt;0,O179&gt;90),"SIM","NAO"))</f>
        <v/>
      </c>
      <c r="Q179" s="3">
        <f>IF(A179="","",IF(P179&lt;&gt;"SIM","Nao acionar",IF(SUMIFS(M:M,A:A,A179,C:C,C179,P:P,"SIM")&lt;=2,"Blip Desk","Blip Portal")))</f>
        <v/>
      </c>
      <c r="R179" s="3">
        <f>IF(A179="","",TEXT(A179,"yyyymmdd")&amp;"|"&amp;C179&amp;"|"&amp;D179&amp;"|"&amp;TEXT(H179,"hhmm")&amp;"|"&amp;TEXT(F179,"yyyymmddhhmmss"))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3">
        <f>IF(A180="","",MAX(0,J180-K180))</f>
        <v/>
      </c>
      <c r="N180" s="4">
        <f>IFERROR(K180/J180,0)</f>
        <v/>
      </c>
      <c r="O180" s="3">
        <f>IF(A180="","",ROUND(((A180+I180)-NOW())*1440,0))</f>
        <v/>
      </c>
      <c r="P180" s="3">
        <f>IF(A180="","",IF(AND(M180&gt;0,O180&gt;90),"SIM","NAO"))</f>
        <v/>
      </c>
      <c r="Q180" s="3">
        <f>IF(A180="","",IF(P180&lt;&gt;"SIM","Nao acionar",IF(SUMIFS(M:M,A:A,A180,C:C,C180,P:P,"SIM")&lt;=2,"Blip Desk","Blip Portal")))</f>
        <v/>
      </c>
      <c r="R180" s="3">
        <f>IF(A180="","",TEXT(A180,"yyyymmdd")&amp;"|"&amp;C180&amp;"|"&amp;D180&amp;"|"&amp;TEXT(H180,"hhmm")&amp;"|"&amp;TEXT(F180,"yyyymmddhhmmss"))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3">
        <f>IF(A181="","",MAX(0,J181-K181))</f>
        <v/>
      </c>
      <c r="N181" s="4">
        <f>IFERROR(K181/J181,0)</f>
        <v/>
      </c>
      <c r="O181" s="3">
        <f>IF(A181="","",ROUND(((A181+I181)-NOW())*1440,0))</f>
        <v/>
      </c>
      <c r="P181" s="3">
        <f>IF(A181="","",IF(AND(M181&gt;0,O181&gt;90),"SIM","NAO"))</f>
        <v/>
      </c>
      <c r="Q181" s="3">
        <f>IF(A181="","",IF(P181&lt;&gt;"SIM","Nao acionar",IF(SUMIFS(M:M,A:A,A181,C:C,C181,P:P,"SIM")&lt;=2,"Blip Desk","Blip Portal")))</f>
        <v/>
      </c>
      <c r="R181" s="3">
        <f>IF(A181="","",TEXT(A181,"yyyymmdd")&amp;"|"&amp;C181&amp;"|"&amp;D181&amp;"|"&amp;TEXT(H181,"hhmm")&amp;"|"&amp;TEXT(F181,"yyyymmddhhmmss"))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3">
        <f>IF(A182="","",MAX(0,J182-K182))</f>
        <v/>
      </c>
      <c r="N182" s="4">
        <f>IFERROR(K182/J182,0)</f>
        <v/>
      </c>
      <c r="O182" s="3">
        <f>IF(A182="","",ROUND(((A182+I182)-NOW())*1440,0))</f>
        <v/>
      </c>
      <c r="P182" s="3">
        <f>IF(A182="","",IF(AND(M182&gt;0,O182&gt;90),"SIM","NAO"))</f>
        <v/>
      </c>
      <c r="Q182" s="3">
        <f>IF(A182="","",IF(P182&lt;&gt;"SIM","Nao acionar",IF(SUMIFS(M:M,A:A,A182,C:C,C182,P:P,"SIM")&lt;=2,"Blip Desk","Blip Portal")))</f>
        <v/>
      </c>
      <c r="R182" s="3">
        <f>IF(A182="","",TEXT(A182,"yyyymmdd")&amp;"|"&amp;C182&amp;"|"&amp;D182&amp;"|"&amp;TEXT(H182,"hhmm")&amp;"|"&amp;TEXT(F182,"yyyymmddhhmmss"))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3">
        <f>IF(A183="","",MAX(0,J183-K183))</f>
        <v/>
      </c>
      <c r="N183" s="4">
        <f>IFERROR(K183/J183,0)</f>
        <v/>
      </c>
      <c r="O183" s="3">
        <f>IF(A183="","",ROUND(((A183+I183)-NOW())*1440,0))</f>
        <v/>
      </c>
      <c r="P183" s="3">
        <f>IF(A183="","",IF(AND(M183&gt;0,O183&gt;90),"SIM","NAO"))</f>
        <v/>
      </c>
      <c r="Q183" s="3">
        <f>IF(A183="","",IF(P183&lt;&gt;"SIM","Nao acionar",IF(SUMIFS(M:M,A:A,A183,C:C,C183,P:P,"SIM")&lt;=2,"Blip Desk","Blip Portal")))</f>
        <v/>
      </c>
      <c r="R183" s="3">
        <f>IF(A183="","",TEXT(A183,"yyyymmdd")&amp;"|"&amp;C183&amp;"|"&amp;D183&amp;"|"&amp;TEXT(H183,"hhmm")&amp;"|"&amp;TEXT(F183,"yyyymmddhhmmss"))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3">
        <f>IF(A184="","",MAX(0,J184-K184))</f>
        <v/>
      </c>
      <c r="N184" s="4">
        <f>IFERROR(K184/J184,0)</f>
        <v/>
      </c>
      <c r="O184" s="3">
        <f>IF(A184="","",ROUND(((A184+I184)-NOW())*1440,0))</f>
        <v/>
      </c>
      <c r="P184" s="3">
        <f>IF(A184="","",IF(AND(M184&gt;0,O184&gt;90),"SIM","NAO"))</f>
        <v/>
      </c>
      <c r="Q184" s="3">
        <f>IF(A184="","",IF(P184&lt;&gt;"SIM","Nao acionar",IF(SUMIFS(M:M,A:A,A184,C:C,C184,P:P,"SIM")&lt;=2,"Blip Desk","Blip Portal")))</f>
        <v/>
      </c>
      <c r="R184" s="3">
        <f>IF(A184="","",TEXT(A184,"yyyymmdd")&amp;"|"&amp;C184&amp;"|"&amp;D184&amp;"|"&amp;TEXT(H184,"hhmm")&amp;"|"&amp;TEXT(F184,"yyyymmddhhmmss"))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3">
        <f>IF(A185="","",MAX(0,J185-K185))</f>
        <v/>
      </c>
      <c r="N185" s="4">
        <f>IFERROR(K185/J185,0)</f>
        <v/>
      </c>
      <c r="O185" s="3">
        <f>IF(A185="","",ROUND(((A185+I185)-NOW())*1440,0))</f>
        <v/>
      </c>
      <c r="P185" s="3">
        <f>IF(A185="","",IF(AND(M185&gt;0,O185&gt;90),"SIM","NAO"))</f>
        <v/>
      </c>
      <c r="Q185" s="3">
        <f>IF(A185="","",IF(P185&lt;&gt;"SIM","Nao acionar",IF(SUMIFS(M:M,A:A,A185,C:C,C185,P:P,"SIM")&lt;=2,"Blip Desk","Blip Portal")))</f>
        <v/>
      </c>
      <c r="R185" s="3">
        <f>IF(A185="","",TEXT(A185,"yyyymmdd")&amp;"|"&amp;C185&amp;"|"&amp;D185&amp;"|"&amp;TEXT(H185,"hhmm")&amp;"|"&amp;TEXT(F185,"yyyymmddhhmmss"))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3">
        <f>IF(A186="","",MAX(0,J186-K186))</f>
        <v/>
      </c>
      <c r="N186" s="4">
        <f>IFERROR(K186/J186,0)</f>
        <v/>
      </c>
      <c r="O186" s="3">
        <f>IF(A186="","",ROUND(((A186+I186)-NOW())*1440,0))</f>
        <v/>
      </c>
      <c r="P186" s="3">
        <f>IF(A186="","",IF(AND(M186&gt;0,O186&gt;90),"SIM","NAO"))</f>
        <v/>
      </c>
      <c r="Q186" s="3">
        <f>IF(A186="","",IF(P186&lt;&gt;"SIM","Nao acionar",IF(SUMIFS(M:M,A:A,A186,C:C,C186,P:P,"SIM")&lt;=2,"Blip Desk","Blip Portal")))</f>
        <v/>
      </c>
      <c r="R186" s="3">
        <f>IF(A186="","",TEXT(A186,"yyyymmdd")&amp;"|"&amp;C186&amp;"|"&amp;D186&amp;"|"&amp;TEXT(H186,"hhmm")&amp;"|"&amp;TEXT(F186,"yyyymmddhhmmss"))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3">
        <f>IF(A187="","",MAX(0,J187-K187))</f>
        <v/>
      </c>
      <c r="N187" s="4">
        <f>IFERROR(K187/J187,0)</f>
        <v/>
      </c>
      <c r="O187" s="3">
        <f>IF(A187="","",ROUND(((A187+I187)-NOW())*1440,0))</f>
        <v/>
      </c>
      <c r="P187" s="3">
        <f>IF(A187="","",IF(AND(M187&gt;0,O187&gt;90),"SIM","NAO"))</f>
        <v/>
      </c>
      <c r="Q187" s="3">
        <f>IF(A187="","",IF(P187&lt;&gt;"SIM","Nao acionar",IF(SUMIFS(M:M,A:A,A187,C:C,C187,P:P,"SIM")&lt;=2,"Blip Desk","Blip Portal")))</f>
        <v/>
      </c>
      <c r="R187" s="3">
        <f>IF(A187="","",TEXT(A187,"yyyymmdd")&amp;"|"&amp;C187&amp;"|"&amp;D187&amp;"|"&amp;TEXT(H187,"hhmm")&amp;"|"&amp;TEXT(F187,"yyyymmddhhmmss"))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3">
        <f>IF(A188="","",MAX(0,J188-K188))</f>
        <v/>
      </c>
      <c r="N188" s="4">
        <f>IFERROR(K188/J188,0)</f>
        <v/>
      </c>
      <c r="O188" s="3">
        <f>IF(A188="","",ROUND(((A188+I188)-NOW())*1440,0))</f>
        <v/>
      </c>
      <c r="P188" s="3">
        <f>IF(A188="","",IF(AND(M188&gt;0,O188&gt;90),"SIM","NAO"))</f>
        <v/>
      </c>
      <c r="Q188" s="3">
        <f>IF(A188="","",IF(P188&lt;&gt;"SIM","Nao acionar",IF(SUMIFS(M:M,A:A,A188,C:C,C188,P:P,"SIM")&lt;=2,"Blip Desk","Blip Portal")))</f>
        <v/>
      </c>
      <c r="R188" s="3">
        <f>IF(A188="","",TEXT(A188,"yyyymmdd")&amp;"|"&amp;C188&amp;"|"&amp;D188&amp;"|"&amp;TEXT(H188,"hhmm")&amp;"|"&amp;TEXT(F188,"yyyymmddhhmmss"))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3">
        <f>IF(A189="","",MAX(0,J189-K189))</f>
        <v/>
      </c>
      <c r="N189" s="4">
        <f>IFERROR(K189/J189,0)</f>
        <v/>
      </c>
      <c r="O189" s="3">
        <f>IF(A189="","",ROUND(((A189+I189)-NOW())*1440,0))</f>
        <v/>
      </c>
      <c r="P189" s="3">
        <f>IF(A189="","",IF(AND(M189&gt;0,O189&gt;90),"SIM","NAO"))</f>
        <v/>
      </c>
      <c r="Q189" s="3">
        <f>IF(A189="","",IF(P189&lt;&gt;"SIM","Nao acionar",IF(SUMIFS(M:M,A:A,A189,C:C,C189,P:P,"SIM")&lt;=2,"Blip Desk","Blip Portal")))</f>
        <v/>
      </c>
      <c r="R189" s="3">
        <f>IF(A189="","",TEXT(A189,"yyyymmdd")&amp;"|"&amp;C189&amp;"|"&amp;D189&amp;"|"&amp;TEXT(H189,"hhmm")&amp;"|"&amp;TEXT(F189,"yyyymmddhhmmss"))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3">
        <f>IF(A190="","",MAX(0,J190-K190))</f>
        <v/>
      </c>
      <c r="N190" s="4">
        <f>IFERROR(K190/J190,0)</f>
        <v/>
      </c>
      <c r="O190" s="3">
        <f>IF(A190="","",ROUND(((A190+I190)-NOW())*1440,0))</f>
        <v/>
      </c>
      <c r="P190" s="3">
        <f>IF(A190="","",IF(AND(M190&gt;0,O190&gt;90),"SIM","NAO"))</f>
        <v/>
      </c>
      <c r="Q190" s="3">
        <f>IF(A190="","",IF(P190&lt;&gt;"SIM","Nao acionar",IF(SUMIFS(M:M,A:A,A190,C:C,C190,P:P,"SIM")&lt;=2,"Blip Desk","Blip Portal")))</f>
        <v/>
      </c>
      <c r="R190" s="3">
        <f>IF(A190="","",TEXT(A190,"yyyymmdd")&amp;"|"&amp;C190&amp;"|"&amp;D190&amp;"|"&amp;TEXT(H190,"hhmm")&amp;"|"&amp;TEXT(F190,"yyyymmddhhmmss"))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3">
        <f>IF(A191="","",MAX(0,J191-K191))</f>
        <v/>
      </c>
      <c r="N191" s="4">
        <f>IFERROR(K191/J191,0)</f>
        <v/>
      </c>
      <c r="O191" s="3">
        <f>IF(A191="","",ROUND(((A191+I191)-NOW())*1440,0))</f>
        <v/>
      </c>
      <c r="P191" s="3">
        <f>IF(A191="","",IF(AND(M191&gt;0,O191&gt;90),"SIM","NAO"))</f>
        <v/>
      </c>
      <c r="Q191" s="3">
        <f>IF(A191="","",IF(P191&lt;&gt;"SIM","Nao acionar",IF(SUMIFS(M:M,A:A,A191,C:C,C191,P:P,"SIM")&lt;=2,"Blip Desk","Blip Portal")))</f>
        <v/>
      </c>
      <c r="R191" s="3">
        <f>IF(A191="","",TEXT(A191,"yyyymmdd")&amp;"|"&amp;C191&amp;"|"&amp;D191&amp;"|"&amp;TEXT(H191,"hhmm")&amp;"|"&amp;TEXT(F191,"yyyymmddhhmmss"))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3">
        <f>IF(A192="","",MAX(0,J192-K192))</f>
        <v/>
      </c>
      <c r="N192" s="4">
        <f>IFERROR(K192/J192,0)</f>
        <v/>
      </c>
      <c r="O192" s="3">
        <f>IF(A192="","",ROUND(((A192+I192)-NOW())*1440,0))</f>
        <v/>
      </c>
      <c r="P192" s="3">
        <f>IF(A192="","",IF(AND(M192&gt;0,O192&gt;90),"SIM","NAO"))</f>
        <v/>
      </c>
      <c r="Q192" s="3">
        <f>IF(A192="","",IF(P192&lt;&gt;"SIM","Nao acionar",IF(SUMIFS(M:M,A:A,A192,C:C,C192,P:P,"SIM")&lt;=2,"Blip Desk","Blip Portal")))</f>
        <v/>
      </c>
      <c r="R192" s="3">
        <f>IF(A192="","",TEXT(A192,"yyyymmdd")&amp;"|"&amp;C192&amp;"|"&amp;D192&amp;"|"&amp;TEXT(H192,"hhmm")&amp;"|"&amp;TEXT(F192,"yyyymmddhhmmss"))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3">
        <f>IF(A193="","",MAX(0,J193-K193))</f>
        <v/>
      </c>
      <c r="N193" s="4">
        <f>IFERROR(K193/J193,0)</f>
        <v/>
      </c>
      <c r="O193" s="3">
        <f>IF(A193="","",ROUND(((A193+I193)-NOW())*1440,0))</f>
        <v/>
      </c>
      <c r="P193" s="3">
        <f>IF(A193="","",IF(AND(M193&gt;0,O193&gt;90),"SIM","NAO"))</f>
        <v/>
      </c>
      <c r="Q193" s="3">
        <f>IF(A193="","",IF(P193&lt;&gt;"SIM","Nao acionar",IF(SUMIFS(M:M,A:A,A193,C:C,C193,P:P,"SIM")&lt;=2,"Blip Desk","Blip Portal")))</f>
        <v/>
      </c>
      <c r="R193" s="3">
        <f>IF(A193="","",TEXT(A193,"yyyymmdd")&amp;"|"&amp;C193&amp;"|"&amp;D193&amp;"|"&amp;TEXT(H193,"hhmm")&amp;"|"&amp;TEXT(F193,"yyyymmddhhmmss"))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3">
        <f>IF(A194="","",MAX(0,J194-K194))</f>
        <v/>
      </c>
      <c r="N194" s="4">
        <f>IFERROR(K194/J194,0)</f>
        <v/>
      </c>
      <c r="O194" s="3">
        <f>IF(A194="","",ROUND(((A194+I194)-NOW())*1440,0))</f>
        <v/>
      </c>
      <c r="P194" s="3">
        <f>IF(A194="","",IF(AND(M194&gt;0,O194&gt;90),"SIM","NAO"))</f>
        <v/>
      </c>
      <c r="Q194" s="3">
        <f>IF(A194="","",IF(P194&lt;&gt;"SIM","Nao acionar",IF(SUMIFS(M:M,A:A,A194,C:C,C194,P:P,"SIM")&lt;=2,"Blip Desk","Blip Portal")))</f>
        <v/>
      </c>
      <c r="R194" s="3">
        <f>IF(A194="","",TEXT(A194,"yyyymmdd")&amp;"|"&amp;C194&amp;"|"&amp;D194&amp;"|"&amp;TEXT(H194,"hhmm")&amp;"|"&amp;TEXT(F194,"yyyymmddhhmmss"))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3">
        <f>IF(A195="","",MAX(0,J195-K195))</f>
        <v/>
      </c>
      <c r="N195" s="4">
        <f>IFERROR(K195/J195,0)</f>
        <v/>
      </c>
      <c r="O195" s="3">
        <f>IF(A195="","",ROUND(((A195+I195)-NOW())*1440,0))</f>
        <v/>
      </c>
      <c r="P195" s="3">
        <f>IF(A195="","",IF(AND(M195&gt;0,O195&gt;90),"SIM","NAO"))</f>
        <v/>
      </c>
      <c r="Q195" s="3">
        <f>IF(A195="","",IF(P195&lt;&gt;"SIM","Nao acionar",IF(SUMIFS(M:M,A:A,A195,C:C,C195,P:P,"SIM")&lt;=2,"Blip Desk","Blip Portal")))</f>
        <v/>
      </c>
      <c r="R195" s="3">
        <f>IF(A195="","",TEXT(A195,"yyyymmdd")&amp;"|"&amp;C195&amp;"|"&amp;D195&amp;"|"&amp;TEXT(H195,"hhmm")&amp;"|"&amp;TEXT(F195,"yyyymmddhhmmss"))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3">
        <f>IF(A196="","",MAX(0,J196-K196))</f>
        <v/>
      </c>
      <c r="N196" s="4">
        <f>IFERROR(K196/J196,0)</f>
        <v/>
      </c>
      <c r="O196" s="3">
        <f>IF(A196="","",ROUND(((A196+I196)-NOW())*1440,0))</f>
        <v/>
      </c>
      <c r="P196" s="3">
        <f>IF(A196="","",IF(AND(M196&gt;0,O196&gt;90),"SIM","NAO"))</f>
        <v/>
      </c>
      <c r="Q196" s="3">
        <f>IF(A196="","",IF(P196&lt;&gt;"SIM","Nao acionar",IF(SUMIFS(M:M,A:A,A196,C:C,C196,P:P,"SIM")&lt;=2,"Blip Desk","Blip Portal")))</f>
        <v/>
      </c>
      <c r="R196" s="3">
        <f>IF(A196="","",TEXT(A196,"yyyymmdd")&amp;"|"&amp;C196&amp;"|"&amp;D196&amp;"|"&amp;TEXT(H196,"hhmm")&amp;"|"&amp;TEXT(F196,"yyyymmddhhmmss"))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3">
        <f>IF(A197="","",MAX(0,J197-K197))</f>
        <v/>
      </c>
      <c r="N197" s="4">
        <f>IFERROR(K197/J197,0)</f>
        <v/>
      </c>
      <c r="O197" s="3">
        <f>IF(A197="","",ROUND(((A197+I197)-NOW())*1440,0))</f>
        <v/>
      </c>
      <c r="P197" s="3">
        <f>IF(A197="","",IF(AND(M197&gt;0,O197&gt;90),"SIM","NAO"))</f>
        <v/>
      </c>
      <c r="Q197" s="3">
        <f>IF(A197="","",IF(P197&lt;&gt;"SIM","Nao acionar",IF(SUMIFS(M:M,A:A,A197,C:C,C197,P:P,"SIM")&lt;=2,"Blip Desk","Blip Portal")))</f>
        <v/>
      </c>
      <c r="R197" s="3">
        <f>IF(A197="","",TEXT(A197,"yyyymmdd")&amp;"|"&amp;C197&amp;"|"&amp;D197&amp;"|"&amp;TEXT(H197,"hhmm")&amp;"|"&amp;TEXT(F197,"yyyymmddhhmmss"))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3">
        <f>IF(A198="","",MAX(0,J198-K198))</f>
        <v/>
      </c>
      <c r="N198" s="4">
        <f>IFERROR(K198/J198,0)</f>
        <v/>
      </c>
      <c r="O198" s="3">
        <f>IF(A198="","",ROUND(((A198+I198)-NOW())*1440,0))</f>
        <v/>
      </c>
      <c r="P198" s="3">
        <f>IF(A198="","",IF(AND(M198&gt;0,O198&gt;90),"SIM","NAO"))</f>
        <v/>
      </c>
      <c r="Q198" s="3">
        <f>IF(A198="","",IF(P198&lt;&gt;"SIM","Nao acionar",IF(SUMIFS(M:M,A:A,A198,C:C,C198,P:P,"SIM")&lt;=2,"Blip Desk","Blip Portal")))</f>
        <v/>
      </c>
      <c r="R198" s="3">
        <f>IF(A198="","",TEXT(A198,"yyyymmdd")&amp;"|"&amp;C198&amp;"|"&amp;D198&amp;"|"&amp;TEXT(H198,"hhmm")&amp;"|"&amp;TEXT(F198,"yyyymmddhhmmss"))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3">
        <f>IF(A199="","",MAX(0,J199-K199))</f>
        <v/>
      </c>
      <c r="N199" s="4">
        <f>IFERROR(K199/J199,0)</f>
        <v/>
      </c>
      <c r="O199" s="3">
        <f>IF(A199="","",ROUND(((A199+I199)-NOW())*1440,0))</f>
        <v/>
      </c>
      <c r="P199" s="3">
        <f>IF(A199="","",IF(AND(M199&gt;0,O199&gt;90),"SIM","NAO"))</f>
        <v/>
      </c>
      <c r="Q199" s="3">
        <f>IF(A199="","",IF(P199&lt;&gt;"SIM","Nao acionar",IF(SUMIFS(M:M,A:A,A199,C:C,C199,P:P,"SIM")&lt;=2,"Blip Desk","Blip Portal")))</f>
        <v/>
      </c>
      <c r="R199" s="3">
        <f>IF(A199="","",TEXT(A199,"yyyymmdd")&amp;"|"&amp;C199&amp;"|"&amp;D199&amp;"|"&amp;TEXT(H199,"hhmm")&amp;"|"&amp;TEXT(F199,"yyyymmddhhmmss"))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3">
        <f>IF(A200="","",MAX(0,J200-K200))</f>
        <v/>
      </c>
      <c r="N200" s="4">
        <f>IFERROR(K200/J200,0)</f>
        <v/>
      </c>
      <c r="O200" s="3">
        <f>IF(A200="","",ROUND(((A200+I200)-NOW())*1440,0))</f>
        <v/>
      </c>
      <c r="P200" s="3">
        <f>IF(A200="","",IF(AND(M200&gt;0,O200&gt;90),"SIM","NAO"))</f>
        <v/>
      </c>
      <c r="Q200" s="3">
        <f>IF(A200="","",IF(P200&lt;&gt;"SIM","Nao acionar",IF(SUMIFS(M:M,A:A,A200,C:C,C200,P:P,"SIM")&lt;=2,"Blip Desk","Blip Portal")))</f>
        <v/>
      </c>
      <c r="R200" s="3">
        <f>IF(A200="","",TEXT(A200,"yyyymmdd")&amp;"|"&amp;C200&amp;"|"&amp;D200&amp;"|"&amp;TEXT(H200,"hhmm")&amp;"|"&amp;TEXT(F200,"yyyymmddhhmmss"))</f>
        <v/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3">
        <f>IF(A201="","",MAX(0,J201-K201))</f>
        <v/>
      </c>
      <c r="N201" s="4">
        <f>IFERROR(K201/J201,0)</f>
        <v/>
      </c>
      <c r="O201" s="3">
        <f>IF(A201="","",ROUND(((A201+I201)-NOW())*1440,0))</f>
        <v/>
      </c>
      <c r="P201" s="3">
        <f>IF(A201="","",IF(AND(M201&gt;0,O201&gt;90),"SIM","NAO"))</f>
        <v/>
      </c>
      <c r="Q201" s="3">
        <f>IF(A201="","",IF(P201&lt;&gt;"SIM","Nao acionar",IF(SUMIFS(M:M,A:A,A201,C:C,C201,P:P,"SIM")&lt;=2,"Blip Desk","Blip Portal")))</f>
        <v/>
      </c>
      <c r="R201" s="3">
        <f>IF(A201="","",TEXT(A201,"yyyymmdd")&amp;"|"&amp;C201&amp;"|"&amp;D201&amp;"|"&amp;TEXT(H201,"hhmm")&amp;"|"&amp;TEXT(F201,"yyyymmddhhmmss"))</f>
        <v/>
      </c>
    </row>
  </sheetData>
  <autoFilter ref="A1:R201"/>
  <conditionalFormatting sqref="P2:P201">
    <cfRule type="expression" priority="1" dxfId="0">
      <formula>P2="SIM"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TEMPLATE DE AUTOMACAO | RODAR EM LOJA</t>
        </is>
      </c>
    </row>
    <row r="2">
      <c r="A2" t="inlineStr">
        <is>
          <t>1. Preencha ou importe dados apenas nas colunas A:L.</t>
        </is>
      </c>
    </row>
    <row r="3">
      <c r="A3" t="inlineStr">
        <is>
          <t>2. As colunas M:R possuem formulas e nao devem ser sobrescritas.</t>
        </is>
      </c>
    </row>
    <row r="4">
      <c r="A4" t="inlineStr">
        <is>
          <t>3. Ao subir no Google Sheets, ajuste a localidade para Brasil.</t>
        </is>
      </c>
    </row>
    <row r="5">
      <c r="A5" t="inlineStr">
        <is>
          <t>4. Para automacao via Python, use sync_google_sheets.py.</t>
        </is>
      </c>
    </row>
    <row r="6">
      <c r="A6" t="inlineStr">
        <is>
          <t>5. Para o Grafana, consulte BASE_GRAFANA!A:R.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2026-09-03T04:10:23Z</dcterms:created>
  <dcterms:modified xmlns:dcterms="http://purl.org/dc/terms/" xmlns:xsi="http://www.w3.org/2001/XMLSchema-instance" xsi:type="dcterms:W3CDTF">2026-09-03T04:10:23Z</dcterms:modified>
</cp:coreProperties>
</file>